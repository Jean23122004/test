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 10Y Table" sheetId="1" state="visible" r:id="rId1"/>
    <sheet name="Inputs" sheetId="2" state="visible" r:id="rId2"/>
    <sheet name="Shortlist" sheetId="3" state="visible" r:id="rId3"/>
    <sheet name="Top 3 Variants" sheetId="4" state="visible" r:id="rId4"/>
    <sheet name="Thoothukudi Price" sheetId="5" state="visible" r:id="rId5"/>
    <sheet name="Running Cost" sheetId="6" state="visible" r:id="rId6"/>
    <sheet name="Insurance 10Y" sheetId="7" state="visible" r:id="rId7"/>
    <sheet name="Maintenance 10Y" sheetId="8" state="visible" r:id="rId8"/>
    <sheet name="Battery (EV)" sheetId="9" state="visible" r:id="rId9"/>
    <sheet name="10-Year Total" sheetId="10" state="visible" r:id="rId10"/>
    <sheet name="Old vs New" sheetId="11" state="visible" r:id="rId11"/>
    <sheet name="Dealers" sheetId="12" state="visible" r:id="rId12"/>
    <sheet name="Sour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;(₹#,##0);&quot;-&quot;"/>
    <numFmt numFmtId="165" formatCode="+0.0;-0.0;0"/>
    <numFmt numFmtId="166" formatCode="₹0.00"/>
    <numFmt numFmtId="167" formatCode="₹#,##0.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i val="1"/>
      <color rgb="00404040"/>
    </font>
    <font>
      <name val="Arial"/>
      <b val="1"/>
    </font>
    <font>
      <name val="Arial"/>
      <b val="1"/>
      <color rgb="00C00000"/>
    </font>
    <font>
      <name val="Arial"/>
      <color rgb="00008000"/>
    </font>
    <font>
      <name val="Arial"/>
      <i val="1"/>
    </font>
    <font>
      <name val="Arial"/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164" fontId="8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top" wrapText="1"/>
    </xf>
    <xf numFmtId="166" fontId="3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horizontal="center" vertical="top" wrapText="1"/>
    </xf>
    <xf numFmtId="10" fontId="4" fillId="3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9" fontId="4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3" fontId="4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top" wrapText="1"/>
    </xf>
    <xf numFmtId="165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167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164" fontId="6" fillId="4" borderId="1" applyAlignment="1" pivotButton="0" quotePrefix="0" xfId="0">
      <alignment horizontal="center" vertical="top" wrapText="1"/>
    </xf>
    <xf numFmtId="164" fontId="6" fillId="7" borderId="1" applyAlignment="1" pivotButton="0" quotePrefix="0" xfId="0">
      <alignment horizontal="center" vertical="top" wrapText="1"/>
    </xf>
    <xf numFmtId="3" fontId="3" fillId="0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vertical="top" wrapText="1"/>
    </xf>
    <xf numFmtId="0" fontId="3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hyperlink" Target="https://www.91wheels.com/bikes/honda/qc/specifications" TargetMode="External" Id="rId1" /><Relationship Type="http://schemas.openxmlformats.org/officeDocument/2006/relationships/hyperlink" Target="https://www.autocarindia.com/bikes/honda-bikes/qc1/price-in-thoothukudi" TargetMode="External" Id="rId2" /><Relationship Type="http://schemas.openxmlformats.org/officeDocument/2006/relationships/hyperlink" Target="https://www.autocarindia.com/bike-news/honda-activa-e-qc1-sales-off-to-a-slow-start-435151" TargetMode="External" Id="rId3" /><Relationship Type="http://schemas.openxmlformats.org/officeDocument/2006/relationships/hyperlink" Target="https://www.autocarindia.com/bikes/kinetic/dx/specifications" TargetMode="External" Id="rId4" /><Relationship Type="http://schemas.openxmlformats.org/officeDocument/2006/relationships/hyperlink" Target="https://www.91wheels.com/scooters/kinetic/dx" TargetMode="External" Id="rId5" /><Relationship Type="http://schemas.openxmlformats.org/officeDocument/2006/relationships/hyperlink" Target="https://thebikejunction.com/electric-scooters/kinetic/dx/price-in-thoothukudi" TargetMode="External" Id="rId6" /><Relationship Type="http://schemas.openxmlformats.org/officeDocument/2006/relationships/hyperlink" Target="https://www.evoindia.com/news/kinetic-green-zulu-launched-at-rs-94990" TargetMode="External" Id="rId7" /><Relationship Type="http://schemas.openxmlformats.org/officeDocument/2006/relationships/hyperlink" Target="https://www.91wheels.com/scooters/kinetic/green-zulu" TargetMode="External" Id="rId8" /><Relationship Type="http://schemas.openxmlformats.org/officeDocument/2006/relationships/hyperlink" Target="https://www.autocarindia.com/bikes/tvs/orbiter/specifications" TargetMode="External" Id="rId9" /><Relationship Type="http://schemas.openxmlformats.org/officeDocument/2006/relationships/hyperlink" Target="https://www.rushlane.com/2026-ampere-magnus-neo-updated-same-price-new-colours-minor-tweaks-12544987.html" TargetMode="External" Id="rId10" /><Relationship Type="http://schemas.openxmlformats.org/officeDocument/2006/relationships/hyperlink" Target="https://www.autocarpro.in/news/ola-s1-z-launched-at-rs-59999-123692" TargetMode="External" Id="rId11" /><Relationship Type="http://schemas.openxmlformats.org/officeDocument/2006/relationships/hyperlink" Target="https://auto.shriramfinance.in/articles/finance/best-lightweight-scooty-for-women-in-india-2026" TargetMode="External" Id="rId12" /><Relationship Type="http://schemas.openxmlformats.org/officeDocument/2006/relationships/hyperlink" Target="https://www.godigit.com/bike-guides/best-light-weight-scooters-in-india" TargetMode="External" Id="rId13" /><Relationship Type="http://schemas.openxmlformats.org/officeDocument/2006/relationships/hyperlink" Target="https://www.zigwheels.com/tvs-bikes/scooty/glossy" TargetMode="External" Id="rId14" /><Relationship Type="http://schemas.openxmlformats.org/officeDocument/2006/relationships/hyperlink" Target="https://www.bikedekho.com/news/category-price-updates/tvs-xl100-price-hiked-check-latest-variant-wise-price-here-19094" TargetMode="External" Id="rId15" /><Relationship Type="http://schemas.openxmlformats.org/officeDocument/2006/relationships/hyperlink" Target="https://www.bikedekho.com/tvs/xl-100/price-in-thoothukudi" TargetMode="External" Id="rId16" /><Relationship Type="http://schemas.openxmlformats.org/officeDocument/2006/relationships/hyperlink" Target="https://www.bikes24.com/tvs/zest-110/price-in-thoothukudi/" TargetMode="External" Id="rId17" /><Relationship Type="http://schemas.openxmlformats.org/officeDocument/2006/relationships/hyperlink" Target="https://www.bikes24.com/honda/dio/price-in-thoothukudi/" TargetMode="External" Id="rId18" /><Relationship Type="http://schemas.openxmlformats.org/officeDocument/2006/relationships/hyperlink" Target="https://www.smartprix.com/scooters/honda-dio-110-ppd1f3rii19a" TargetMode="External" Id="rId19" /><Relationship Type="http://schemas.openxmlformats.org/officeDocument/2006/relationships/hyperlink" Target="https://www.zigwheels.com/yamaha-bikes/fascino/on-road-price-thoothukudi/" TargetMode="External" Id="rId20" /><Relationship Type="http://schemas.openxmlformats.org/officeDocument/2006/relationships/hyperlink" Target="https://www.zigwheels.com/yamaha-bikes/ray-zr-125/on-road-price-chennai/" TargetMode="External" Id="rId21" /><Relationship Type="http://schemas.openxmlformats.org/officeDocument/2006/relationships/hyperlink" Target="https://91wheels.com/scooters/yamaha/rayzr-125-fi-hybrid" TargetMode="External" Id="rId22" /><Relationship Type="http://schemas.openxmlformats.org/officeDocument/2006/relationships/hyperlink" Target="https://www.team-bhp.com/new-bikes/hero/pleasure-plus/specifications/" TargetMode="External" Id="rId23" /><Relationship Type="http://schemas.openxmlformats.org/officeDocument/2006/relationships/hyperlink" Target="https://www.evfy.in/news/pm-e-drive-subsidy-ends-what-it-means-for-ev-buyers-from-august-2026" TargetMode="External" Id="rId24" /><Relationship Type="http://schemas.openxmlformats.org/officeDocument/2006/relationships/hyperlink" Target="https://thefederal.com/category/states/south/tamil-nadu/tamil-nadu-ev-road-tax-exemption-till-dec-31-2027-223729" TargetMode="External" Id="rId25" /><Relationship Type="http://schemas.openxmlformats.org/officeDocument/2006/relationships/hyperlink" Target="https://thediscombill.com/guides/tamil-nadu-electricity-tariff-july-2026/" TargetMode="External" Id="rId26" /><Relationship Type="http://schemas.openxmlformats.org/officeDocument/2006/relationships/hyperlink" Target="https://www.shriramfinance.in/petrol-price-in-thoothukudi" TargetMode="External" Id="rId27" /><Relationship Type="http://schemas.openxmlformats.org/officeDocument/2006/relationships/hyperlink" Target="https://www.evfy.in/news/battery-replacement-costs-of-ev-two-wheelers-in-india" TargetMode="External" Id="rId28" /><Relationship Type="http://schemas.openxmlformats.org/officeDocument/2006/relationships/hyperlink" Target="https://www.icicilombard.com/blogs/two-wheeler-insurance/bike/understand-the-depreciation-value-of-your-two-wheeler" TargetMode="External" Id="rId29" /><Relationship Type="http://schemas.openxmlformats.org/officeDocument/2006/relationships/hyperlink" Target="https://www.bikewale.com/dealer-showrooms/honda/tuticorin/" TargetMode="External" Id="rId30" /><Relationship Type="http://schemas.openxmlformats.org/officeDocument/2006/relationships/hyperlink" Target="https://bikewale.com/dealer-showrooms/tvs/thoothukudi" TargetMode="External" Id="rId31" /><Relationship Type="http://schemas.openxmlformats.org/officeDocument/2006/relationships/hyperlink" Target="https://www.bikes4sale.in/new-bike-showrooms/dealer/yamaha/tamil-nadu/thoothukudi/6561/lakhmi-motors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9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1" customWidth="1" min="12" max="12"/>
    <col width="30" customWidth="1" min="13" max="13"/>
  </cols>
  <sheetData>
    <row r="1">
      <c r="A1" s="1" t="inlineStr">
        <is>
          <t>ONE SIMPLE TABLE – 10-year cost at MEDIUM use (30 km/day). Other usage levels on '10-Year Total' sheet.</t>
        </is>
      </c>
    </row>
    <row r="2" ht="42" customHeight="1">
      <c r="A2" s="2" t="inlineStr">
        <is>
          <t>Scooter</t>
        </is>
      </c>
      <c r="B2" s="2" t="inlineStr">
        <is>
          <t>Type</t>
        </is>
      </c>
      <c r="C2" s="2" t="inlineStr">
        <is>
          <t>Weight (kg)</t>
        </is>
      </c>
      <c r="D2" s="2" t="inlineStr">
        <is>
          <t>Within 85–95 kg?</t>
        </is>
      </c>
      <c r="E2" s="2" t="inlineStr">
        <is>
          <t>Purchase Cost</t>
        </is>
      </c>
      <c r="F2" s="2" t="inlineStr">
        <is>
          <t>Fuel/Electricity 10Y</t>
        </is>
      </c>
      <c r="G2" s="2" t="inlineStr">
        <is>
          <t>Maintenance 10Y</t>
        </is>
      </c>
      <c r="H2" s="2" t="inlineStr">
        <is>
          <t>Insurance 10Y (yrs 2–10)</t>
        </is>
      </c>
      <c r="I2" s="2" t="inlineStr">
        <is>
          <t>Major Repairs/Battery</t>
        </is>
      </c>
      <c r="J2" s="2" t="inlineStr">
        <is>
          <t>TOTAL 10Y (best case)</t>
        </is>
      </c>
      <c r="K2" s="2" t="inlineStr">
        <is>
          <t>TOTAL 10Y (conservative)</t>
        </is>
      </c>
      <c r="L2" s="2" t="inlineStr">
        <is>
          <t>Cost per km (conservative)</t>
        </is>
      </c>
      <c r="M2" s="2" t="inlineStr">
        <is>
          <t>Thoothukudi dealer</t>
        </is>
      </c>
    </row>
    <row r="3">
      <c r="A3" s="3">
        <f>Shortlist!B2</f>
        <v/>
      </c>
      <c r="B3" s="4">
        <f>Shortlist!D2</f>
        <v/>
      </c>
      <c r="C3" s="4">
        <f>Shortlist!E2</f>
        <v/>
      </c>
      <c r="D3" s="3">
        <f>Shortlist!F2</f>
        <v/>
      </c>
      <c r="E3" s="5">
        <f>'10-Year Total'!C3</f>
        <v/>
      </c>
      <c r="F3" s="5">
        <f>'10-Year Total'!J3</f>
        <v/>
      </c>
      <c r="G3" s="5">
        <f>'10-Year Total'!K3</f>
        <v/>
      </c>
      <c r="H3" s="5">
        <f>'10-Year Total'!L3</f>
        <v/>
      </c>
      <c r="I3" s="5">
        <f>'10-Year Total'!M3</f>
        <v/>
      </c>
      <c r="J3" s="6">
        <f>'10-Year Total'!N3</f>
        <v/>
      </c>
      <c r="K3" s="7">
        <f>'10-Year Total'!O3</f>
        <v/>
      </c>
      <c r="L3" s="8">
        <f>K3/(Inputs!$B$7*Inputs!$B$9*10)</f>
        <v/>
      </c>
      <c r="M3" s="3">
        <f>Shortlist!V2</f>
        <v/>
      </c>
    </row>
    <row r="4">
      <c r="A4" s="3">
        <f>Shortlist!B3</f>
        <v/>
      </c>
      <c r="B4" s="4">
        <f>Shortlist!D3</f>
        <v/>
      </c>
      <c r="C4" s="4">
        <f>Shortlist!E3</f>
        <v/>
      </c>
      <c r="D4" s="3">
        <f>Shortlist!F3</f>
        <v/>
      </c>
      <c r="E4" s="5">
        <f>'10-Year Total'!C4</f>
        <v/>
      </c>
      <c r="F4" s="5">
        <f>'10-Year Total'!J4</f>
        <v/>
      </c>
      <c r="G4" s="5">
        <f>'10-Year Total'!K4</f>
        <v/>
      </c>
      <c r="H4" s="5">
        <f>'10-Year Total'!L4</f>
        <v/>
      </c>
      <c r="I4" s="5">
        <f>'10-Year Total'!M4</f>
        <v/>
      </c>
      <c r="J4" s="6">
        <f>'10-Year Total'!N4</f>
        <v/>
      </c>
      <c r="K4" s="7">
        <f>'10-Year Total'!O4</f>
        <v/>
      </c>
      <c r="L4" s="8">
        <f>K4/(Inputs!$B$7*Inputs!$B$9*10)</f>
        <v/>
      </c>
      <c r="M4" s="3">
        <f>Shortlist!V3</f>
        <v/>
      </c>
    </row>
    <row r="5">
      <c r="A5" s="3">
        <f>Shortlist!B4</f>
        <v/>
      </c>
      <c r="B5" s="4">
        <f>Shortlist!D4</f>
        <v/>
      </c>
      <c r="C5" s="4">
        <f>Shortlist!E4</f>
        <v/>
      </c>
      <c r="D5" s="3">
        <f>Shortlist!F4</f>
        <v/>
      </c>
      <c r="E5" s="5">
        <f>'10-Year Total'!C5</f>
        <v/>
      </c>
      <c r="F5" s="5">
        <f>'10-Year Total'!J5</f>
        <v/>
      </c>
      <c r="G5" s="5">
        <f>'10-Year Total'!K5</f>
        <v/>
      </c>
      <c r="H5" s="5">
        <f>'10-Year Total'!L5</f>
        <v/>
      </c>
      <c r="I5" s="5">
        <f>'10-Year Total'!M5</f>
        <v/>
      </c>
      <c r="J5" s="6">
        <f>'10-Year Total'!N5</f>
        <v/>
      </c>
      <c r="K5" s="7">
        <f>'10-Year Total'!O5</f>
        <v/>
      </c>
      <c r="L5" s="8">
        <f>K5/(Inputs!$B$7*Inputs!$B$9*10)</f>
        <v/>
      </c>
      <c r="M5" s="3">
        <f>Shortlist!V4</f>
        <v/>
      </c>
    </row>
    <row r="6">
      <c r="A6" s="3">
        <f>Shortlist!B5</f>
        <v/>
      </c>
      <c r="B6" s="4">
        <f>Shortlist!D5</f>
        <v/>
      </c>
      <c r="C6" s="4">
        <f>Shortlist!E5</f>
        <v/>
      </c>
      <c r="D6" s="3">
        <f>Shortlist!F5</f>
        <v/>
      </c>
      <c r="E6" s="5">
        <f>'10-Year Total'!C6</f>
        <v/>
      </c>
      <c r="F6" s="5">
        <f>'10-Year Total'!J6</f>
        <v/>
      </c>
      <c r="G6" s="5">
        <f>'10-Year Total'!K6</f>
        <v/>
      </c>
      <c r="H6" s="5">
        <f>'10-Year Total'!L6</f>
        <v/>
      </c>
      <c r="I6" s="5">
        <f>'10-Year Total'!M6</f>
        <v/>
      </c>
      <c r="J6" s="6">
        <f>'10-Year Total'!N6</f>
        <v/>
      </c>
      <c r="K6" s="7">
        <f>'10-Year Total'!O6</f>
        <v/>
      </c>
      <c r="L6" s="8">
        <f>K6/(Inputs!$B$7*Inputs!$B$9*10)</f>
        <v/>
      </c>
      <c r="M6" s="3">
        <f>Shortlist!V5</f>
        <v/>
      </c>
    </row>
    <row r="7">
      <c r="A7" s="3">
        <f>Shortlist!B6</f>
        <v/>
      </c>
      <c r="B7" s="4">
        <f>Shortlist!D6</f>
        <v/>
      </c>
      <c r="C7" s="4">
        <f>Shortlist!E6</f>
        <v/>
      </c>
      <c r="D7" s="3">
        <f>Shortlist!F6</f>
        <v/>
      </c>
      <c r="E7" s="5">
        <f>'10-Year Total'!C7</f>
        <v/>
      </c>
      <c r="F7" s="5">
        <f>'10-Year Total'!J7</f>
        <v/>
      </c>
      <c r="G7" s="5">
        <f>'10-Year Total'!K7</f>
        <v/>
      </c>
      <c r="H7" s="5">
        <f>'10-Year Total'!L7</f>
        <v/>
      </c>
      <c r="I7" s="5">
        <f>'10-Year Total'!M7</f>
        <v/>
      </c>
      <c r="J7" s="6">
        <f>'10-Year Total'!N7</f>
        <v/>
      </c>
      <c r="K7" s="7">
        <f>'10-Year Total'!O7</f>
        <v/>
      </c>
      <c r="L7" s="8">
        <f>K7/(Inputs!$B$7*Inputs!$B$9*10)</f>
        <v/>
      </c>
      <c r="M7" s="3">
        <f>Shortlist!V6</f>
        <v/>
      </c>
    </row>
    <row r="8">
      <c r="A8" s="3">
        <f>Shortlist!B7</f>
        <v/>
      </c>
      <c r="B8" s="4">
        <f>Shortlist!D7</f>
        <v/>
      </c>
      <c r="C8" s="4">
        <f>Shortlist!E7</f>
        <v/>
      </c>
      <c r="D8" s="3">
        <f>Shortlist!F7</f>
        <v/>
      </c>
      <c r="E8" s="5">
        <f>'10-Year Total'!C8</f>
        <v/>
      </c>
      <c r="F8" s="5">
        <f>'10-Year Total'!J8</f>
        <v/>
      </c>
      <c r="G8" s="5">
        <f>'10-Year Total'!K8</f>
        <v/>
      </c>
      <c r="H8" s="5">
        <f>'10-Year Total'!L8</f>
        <v/>
      </c>
      <c r="I8" s="5">
        <f>'10-Year Total'!M8</f>
        <v/>
      </c>
      <c r="J8" s="6">
        <f>'10-Year Total'!N8</f>
        <v/>
      </c>
      <c r="K8" s="7">
        <f>'10-Year Total'!O8</f>
        <v/>
      </c>
      <c r="L8" s="8">
        <f>K8/(Inputs!$B$7*Inputs!$B$9*10)</f>
        <v/>
      </c>
      <c r="M8" s="3">
        <f>Shortlist!V7</f>
        <v/>
      </c>
    </row>
    <row r="9">
      <c r="A9" s="3">
        <f>Shortlist!B8</f>
        <v/>
      </c>
      <c r="B9" s="4">
        <f>Shortlist!D8</f>
        <v/>
      </c>
      <c r="C9" s="4">
        <f>Shortlist!E8</f>
        <v/>
      </c>
      <c r="D9" s="3">
        <f>Shortlist!F8</f>
        <v/>
      </c>
      <c r="E9" s="5">
        <f>'10-Year Total'!C9</f>
        <v/>
      </c>
      <c r="F9" s="5">
        <f>'10-Year Total'!J9</f>
        <v/>
      </c>
      <c r="G9" s="5">
        <f>'10-Year Total'!K9</f>
        <v/>
      </c>
      <c r="H9" s="5">
        <f>'10-Year Total'!L9</f>
        <v/>
      </c>
      <c r="I9" s="5">
        <f>'10-Year Total'!M9</f>
        <v/>
      </c>
      <c r="J9" s="6">
        <f>'10-Year Total'!N9</f>
        <v/>
      </c>
      <c r="K9" s="7">
        <f>'10-Year Total'!O9</f>
        <v/>
      </c>
      <c r="L9" s="8">
        <f>K9/(Inputs!$B$7*Inputs!$B$9*10)</f>
        <v/>
      </c>
      <c r="M9" s="3">
        <f>Shortlist!V8</f>
        <v/>
      </c>
    </row>
    <row r="10">
      <c r="A10" s="3">
        <f>Shortlist!B9</f>
        <v/>
      </c>
      <c r="B10" s="4">
        <f>Shortlist!D9</f>
        <v/>
      </c>
      <c r="C10" s="4">
        <f>Shortlist!E9</f>
        <v/>
      </c>
      <c r="D10" s="3">
        <f>Shortlist!F9</f>
        <v/>
      </c>
      <c r="E10" s="5">
        <f>'10-Year Total'!C10</f>
        <v/>
      </c>
      <c r="F10" s="5">
        <f>'10-Year Total'!J10</f>
        <v/>
      </c>
      <c r="G10" s="5">
        <f>'10-Year Total'!K10</f>
        <v/>
      </c>
      <c r="H10" s="5">
        <f>'10-Year Total'!L10</f>
        <v/>
      </c>
      <c r="I10" s="5">
        <f>'10-Year Total'!M10</f>
        <v/>
      </c>
      <c r="J10" s="6">
        <f>'10-Year Total'!N10</f>
        <v/>
      </c>
      <c r="K10" s="7">
        <f>'10-Year Total'!O10</f>
        <v/>
      </c>
      <c r="L10" s="8">
        <f>K10/(Inputs!$B$7*Inputs!$B$9*10)</f>
        <v/>
      </c>
      <c r="M10" s="3">
        <f>Shortlist!V9</f>
        <v/>
      </c>
    </row>
    <row r="11">
      <c r="A11" s="3">
        <f>Shortlist!B10</f>
        <v/>
      </c>
      <c r="B11" s="4">
        <f>Shortlist!D10</f>
        <v/>
      </c>
      <c r="C11" s="4">
        <f>Shortlist!E10</f>
        <v/>
      </c>
      <c r="D11" s="3">
        <f>Shortlist!F10</f>
        <v/>
      </c>
      <c r="E11" s="5">
        <f>'10-Year Total'!C11</f>
        <v/>
      </c>
      <c r="F11" s="5">
        <f>'10-Year Total'!J11</f>
        <v/>
      </c>
      <c r="G11" s="5">
        <f>'10-Year Total'!K11</f>
        <v/>
      </c>
      <c r="H11" s="5">
        <f>'10-Year Total'!L11</f>
        <v/>
      </c>
      <c r="I11" s="5">
        <f>'10-Year Total'!M11</f>
        <v/>
      </c>
      <c r="J11" s="6">
        <f>'10-Year Total'!N11</f>
        <v/>
      </c>
      <c r="K11" s="7">
        <f>'10-Year Total'!O11</f>
        <v/>
      </c>
      <c r="L11" s="8">
        <f>K11/(Inputs!$B$7*Inputs!$B$9*10)</f>
        <v/>
      </c>
      <c r="M11" s="3">
        <f>Shortlist!V10</f>
        <v/>
      </c>
    </row>
    <row r="12">
      <c r="A12" s="3">
        <f>Shortlist!B11</f>
        <v/>
      </c>
      <c r="B12" s="4">
        <f>Shortlist!D11</f>
        <v/>
      </c>
      <c r="C12" s="4">
        <f>Shortlist!E11</f>
        <v/>
      </c>
      <c r="D12" s="3">
        <f>Shortlist!F11</f>
        <v/>
      </c>
      <c r="E12" s="5">
        <f>'10-Year Total'!C12</f>
        <v/>
      </c>
      <c r="F12" s="5">
        <f>'10-Year Total'!J12</f>
        <v/>
      </c>
      <c r="G12" s="5">
        <f>'10-Year Total'!K12</f>
        <v/>
      </c>
      <c r="H12" s="5">
        <f>'10-Year Total'!L12</f>
        <v/>
      </c>
      <c r="I12" s="5">
        <f>'10-Year Total'!M12</f>
        <v/>
      </c>
      <c r="J12" s="6">
        <f>'10-Year Total'!N12</f>
        <v/>
      </c>
      <c r="K12" s="7">
        <f>'10-Year Total'!O12</f>
        <v/>
      </c>
      <c r="L12" s="8">
        <f>K12/(Inputs!$B$7*Inputs!$B$9*10)</f>
        <v/>
      </c>
      <c r="M12" s="3">
        <f>Shortlist!V11</f>
        <v/>
      </c>
    </row>
    <row r="13"/>
    <row r="14">
      <c r="A14" s="9" t="inlineStr">
        <is>
          <t>Green = cheaper, red = dearer. Prices checked 5 Oct 2026. Estimates are clearly labelled on each sheet. Change inputs on the 'Inputs' sheet.</t>
        </is>
      </c>
    </row>
  </sheetData>
  <conditionalFormatting sqref="K3:K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3:D12">
    <cfRule type="expression" priority="2" dxfId="0">
      <formula>$D3="YES"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95" customWidth="1" min="3" max="3"/>
    <col width="30" customWidth="1" min="4" max="4"/>
    <col width="14" customWidth="1" min="5" max="5"/>
    <col width="60" customWidth="1" min="6" max="6"/>
  </cols>
  <sheetData>
    <row r="1">
      <c r="A1" s="1" t="inlineStr">
        <is>
          <t>INPUTS &amp; ASSUMPTIONS — change the yellow cells; every sheet updates</t>
        </is>
      </c>
    </row>
    <row r="2"/>
    <row r="3" ht="42" customHeight="1">
      <c r="A3" s="2" t="inlineStr">
        <is>
          <t>Input</t>
        </is>
      </c>
      <c r="B3" s="2" t="inlineStr">
        <is>
          <t>Value</t>
        </is>
      </c>
      <c r="C3" s="2" t="inlineStr">
        <is>
          <t>Source / note</t>
        </is>
      </c>
    </row>
    <row r="4">
      <c r="A4" s="10" t="inlineStr">
        <is>
          <t>Petrol price, Thoothukudi (₹/litre)</t>
        </is>
      </c>
      <c r="B4" s="11" t="n">
        <v>101.45</v>
      </c>
      <c r="C4" s="12" t="inlineStr">
        <is>
          <t>Shriram Finance / GoldPriceIndia – 17 Jul 2026 (latest dated figure found). Change to today's pump price.</t>
        </is>
      </c>
    </row>
    <row r="5">
      <c r="A5" s="10" t="inlineStr">
        <is>
          <t>Electricity rate for charging (₹/unit)</t>
        </is>
      </c>
      <c r="B5" s="11" t="n">
        <v>7</v>
      </c>
      <c r="C5" s="12" t="inlineStr">
        <is>
          <t>ESTIMATE. TN domestic slabs ₹4.95–₹12.15/unit, no 2026 hike (TheDiscomBill, Jul 2026). Use 10 if your bill is in a high slab.</t>
        </is>
      </c>
    </row>
    <row r="6">
      <c r="A6" s="10" t="inlineStr">
        <is>
          <t>Low use (km/day)</t>
        </is>
      </c>
      <c r="B6" s="11" t="n">
        <v>20</v>
      </c>
      <c r="C6" s="12" t="inlineStr">
        <is>
          <t>Your scenario</t>
        </is>
      </c>
    </row>
    <row r="7">
      <c r="A7" s="10" t="inlineStr">
        <is>
          <t>Medium use (km/day)</t>
        </is>
      </c>
      <c r="B7" s="11" t="n">
        <v>30</v>
      </c>
      <c r="C7" s="12" t="inlineStr">
        <is>
          <t>Your scenario</t>
        </is>
      </c>
    </row>
    <row r="8">
      <c r="A8" s="10" t="inlineStr">
        <is>
          <t>High use (km/day)</t>
        </is>
      </c>
      <c r="B8" s="11" t="n">
        <v>50</v>
      </c>
      <c r="C8" s="12" t="inlineStr">
        <is>
          <t>Your scenario</t>
        </is>
      </c>
    </row>
    <row r="9">
      <c r="A9" s="10" t="inlineStr">
        <is>
          <t>Days per year</t>
        </is>
      </c>
      <c r="B9" s="11" t="n">
        <v>365</v>
      </c>
      <c r="C9" s="12" t="inlineStr"/>
    </row>
    <row r="10">
      <c r="A10" s="10" t="inlineStr">
        <is>
          <t>Days per month</t>
        </is>
      </c>
      <c r="B10" s="11" t="n">
        <v>30</v>
      </c>
      <c r="C10" s="12" t="inlineStr"/>
    </row>
    <row r="11">
      <c r="A11" s="10" t="inlineStr">
        <is>
          <t>Battery replacement price today (₹ per kWh)</t>
        </is>
      </c>
      <c r="B11" s="13" t="n">
        <v>20000</v>
      </c>
      <c r="C11" s="12" t="inlineStr">
        <is>
          <t>ESTIMATE from 2026 quotes: iQube 2.2 kWh ₹45–50k, Chetak 2.5 kWh ₹55–60k (EVFY 2026). May fall in future.</t>
        </is>
      </c>
    </row>
    <row r="12">
      <c r="A12" s="10" t="inlineStr">
        <is>
          <t>Own-damage insurance rate (% of IDV per year)</t>
        </is>
      </c>
      <c r="B12" s="14" t="n">
        <v>0.0176</v>
      </c>
      <c r="C12" s="12" t="inlineStr">
        <is>
          <t>ESTIMATE (legacy IRDAI tariff for ≤150cc, Zone B). Actual varies by insurer.</t>
        </is>
      </c>
    </row>
    <row r="13">
      <c r="A13" s="10" t="inlineStr">
        <is>
          <t>GST on insurance</t>
        </is>
      </c>
      <c r="B13" s="14" t="n">
        <v>0.18</v>
      </c>
      <c r="C13" s="12" t="inlineStr">
        <is>
          <t>Statutory</t>
        </is>
      </c>
    </row>
    <row r="14">
      <c r="A14" s="10" t="inlineStr">
        <is>
          <t>Third-party premium – petrol 75–150cc (₹/yr, before GST)</t>
        </is>
      </c>
      <c r="B14" s="11" t="n">
        <v>714</v>
      </c>
      <c r="C14" s="12" t="inlineStr">
        <is>
          <t>IRDAI tariff (last notified). Prepaid for 5 years at purchase.</t>
        </is>
      </c>
    </row>
    <row r="15">
      <c r="A15" s="10" t="inlineStr">
        <is>
          <t>Third-party premium – EV ≤3 kW (₹/yr, before GST)</t>
        </is>
      </c>
      <c r="B15" s="11" t="n">
        <v>457</v>
      </c>
      <c r="C15" s="12" t="inlineStr">
        <is>
          <t>IRDAI tariff (last notified). Prepaid for 5 years at purchase.</t>
        </is>
      </c>
    </row>
    <row r="16">
      <c r="A16" s="10" t="inlineStr">
        <is>
          <t>Third-party premium – EV 3–7 kW (₹/yr, before GST)</t>
        </is>
      </c>
      <c r="B16" s="11" t="n">
        <v>607</v>
      </c>
      <c r="C16" s="12" t="inlineStr">
        <is>
          <t>IRDAI tariff (last notified).</t>
        </is>
      </c>
    </row>
    <row r="17">
      <c r="A17" s="10" t="inlineStr">
        <is>
          <t>Your Hero Honda Pleasure kerb weight (kg)</t>
        </is>
      </c>
      <c r="B17" s="11" t="n">
        <v>104</v>
      </c>
      <c r="C17" s="12" t="inlineStr">
        <is>
          <t>BikeWale Pleasure 2005–2015 spec</t>
        </is>
      </c>
    </row>
    <row r="18">
      <c r="A18" s="10" t="inlineStr">
        <is>
          <t>Target weight – minimum (kg)</t>
        </is>
      </c>
      <c r="B18" s="11" t="n">
        <v>85</v>
      </c>
      <c r="C18" s="12" t="inlineStr">
        <is>
          <t>Your requirement</t>
        </is>
      </c>
    </row>
    <row r="19">
      <c r="A19" s="10" t="inlineStr">
        <is>
          <t>Target weight – maximum (kg)</t>
        </is>
      </c>
      <c r="B19" s="11" t="n">
        <v>95</v>
      </c>
      <c r="C19" s="12" t="inlineStr">
        <is>
          <t>Your requirement</t>
        </is>
      </c>
    </row>
    <row r="20"/>
    <row r="21"/>
    <row r="22">
      <c r="A22" s="15" t="inlineStr">
        <is>
          <t>Insurance model (estimate): IDV falls with age; No-Claim Bonus (NCB) cuts own-damage premium if you make no claim</t>
        </is>
      </c>
    </row>
    <row r="23" ht="42" customHeight="1">
      <c r="A23" s="2" t="inlineStr">
        <is>
          <t>Year</t>
        </is>
      </c>
      <c r="B23" s="2" t="inlineStr">
        <is>
          <t>IDV as % of ex-showroom</t>
        </is>
      </c>
      <c r="C23" s="2" t="inlineStr">
        <is>
          <t>NCB discount</t>
        </is>
      </c>
      <c r="D23" s="2" t="inlineStr">
        <is>
          <t>Third-party paid this year?</t>
        </is>
      </c>
    </row>
    <row r="24">
      <c r="A24" s="16" t="n">
        <v>1</v>
      </c>
      <c r="B24" s="17" t="n">
        <v>0.95</v>
      </c>
      <c r="C24" s="17" t="n">
        <v>0</v>
      </c>
      <c r="D24" s="10" t="inlineStr">
        <is>
          <t>Prepaid at purchase (5-yr TP)</t>
        </is>
      </c>
    </row>
    <row r="25">
      <c r="A25" s="16" t="n">
        <v>2</v>
      </c>
      <c r="B25" s="17" t="n">
        <v>0.85</v>
      </c>
      <c r="C25" s="17" t="n">
        <v>0.2</v>
      </c>
      <c r="D25" s="10" t="inlineStr">
        <is>
          <t>Prepaid at purchase (5-yr TP)</t>
        </is>
      </c>
    </row>
    <row r="26">
      <c r="A26" s="16" t="n">
        <v>3</v>
      </c>
      <c r="B26" s="17" t="n">
        <v>0.8</v>
      </c>
      <c r="C26" s="17" t="n">
        <v>0.25</v>
      </c>
      <c r="D26" s="10" t="inlineStr">
        <is>
          <t>Prepaid at purchase (5-yr TP)</t>
        </is>
      </c>
    </row>
    <row r="27">
      <c r="A27" s="16" t="n">
        <v>4</v>
      </c>
      <c r="B27" s="17" t="n">
        <v>0.7</v>
      </c>
      <c r="C27" s="17" t="n">
        <v>0.35</v>
      </c>
      <c r="D27" s="10" t="inlineStr">
        <is>
          <t>Prepaid at purchase (5-yr TP)</t>
        </is>
      </c>
    </row>
    <row r="28">
      <c r="A28" s="16" t="n">
        <v>5</v>
      </c>
      <c r="B28" s="17" t="n">
        <v>0.6</v>
      </c>
      <c r="C28" s="17" t="n">
        <v>0.45</v>
      </c>
      <c r="D28" s="10" t="inlineStr">
        <is>
          <t>Prepaid at purchase (5-yr TP)</t>
        </is>
      </c>
    </row>
    <row r="29">
      <c r="A29" s="16" t="n">
        <v>6</v>
      </c>
      <c r="B29" s="17" t="n">
        <v>0.5</v>
      </c>
      <c r="C29" s="17" t="n">
        <v>0.5</v>
      </c>
      <c r="D29" s="10" t="inlineStr">
        <is>
          <t>Yes – yearly</t>
        </is>
      </c>
    </row>
    <row r="30">
      <c r="A30" s="16" t="n">
        <v>7</v>
      </c>
      <c r="B30" s="17" t="n">
        <v>0.45</v>
      </c>
      <c r="C30" s="17" t="n">
        <v>0.5</v>
      </c>
      <c r="D30" s="10" t="inlineStr">
        <is>
          <t>Yes – yearly</t>
        </is>
      </c>
    </row>
    <row r="31">
      <c r="A31" s="16" t="n">
        <v>8</v>
      </c>
      <c r="B31" s="17" t="n">
        <v>0.4</v>
      </c>
      <c r="C31" s="17" t="n">
        <v>0.5</v>
      </c>
      <c r="D31" s="10" t="inlineStr">
        <is>
          <t>Yes – yearly</t>
        </is>
      </c>
    </row>
    <row r="32">
      <c r="A32" s="16" t="n">
        <v>9</v>
      </c>
      <c r="B32" s="17" t="n">
        <v>0.35</v>
      </c>
      <c r="C32" s="17" t="n">
        <v>0.5</v>
      </c>
      <c r="D32" s="10" t="inlineStr">
        <is>
          <t>Yes – yearly</t>
        </is>
      </c>
    </row>
    <row r="33">
      <c r="A33" s="16" t="n">
        <v>10</v>
      </c>
      <c r="B33" s="17" t="n">
        <v>0.3</v>
      </c>
      <c r="C33" s="17" t="n">
        <v>0.5</v>
      </c>
      <c r="D33" s="10" t="inlineStr">
        <is>
          <t>Yes – yearly</t>
        </is>
      </c>
    </row>
    <row r="34"/>
    <row r="35">
      <c r="A35" s="9" t="inlineStr">
        <is>
          <t>IDV = Insured Declared Value = what the insurer would pay if the scooter is stolen/destroyed. Standard IRDAI depreciation: 5% (new), 15/20/30/40/50% by age 1–5; after 5 yrs by agreement (assumed 55–70% here).</t>
        </is>
      </c>
    </row>
    <row r="36"/>
    <row r="37">
      <c r="A37" s="15" t="inlineStr">
        <is>
          <t>Maintenance unit costs (ESTIMATES for Thoothukudi authorised workshops, 2026 prices)</t>
        </is>
      </c>
    </row>
    <row r="38" ht="42" customHeight="1">
      <c r="A38" s="2" t="inlineStr">
        <is>
          <t>Item</t>
        </is>
      </c>
      <c r="B38" s="2" t="inlineStr">
        <is>
          <t>Applies to</t>
        </is>
      </c>
      <c r="C38" s="2" t="inlineStr">
        <is>
          <t>Cost each time (₹)</t>
        </is>
      </c>
      <c r="D38" s="2" t="inlineStr">
        <is>
          <t>Every … km</t>
        </is>
      </c>
      <c r="E38" s="2" t="inlineStr">
        <is>
          <t>…or every … years</t>
        </is>
      </c>
      <c r="F38" s="2" t="inlineStr">
        <is>
          <t>Note</t>
        </is>
      </c>
    </row>
    <row r="39">
      <c r="A39" s="18" t="inlineStr">
        <is>
          <t>Periodic service + engine oil (petrol)</t>
        </is>
      </c>
      <c r="B39" s="10" t="inlineStr">
        <is>
          <t>Petrol</t>
        </is>
      </c>
      <c r="C39" s="13" t="n">
        <v>900</v>
      </c>
      <c r="D39" s="19" t="n">
        <v>3000</v>
      </c>
      <c r="E39" s="20" t="n"/>
      <c r="F39" s="18" t="inlineStr">
        <is>
          <t>Labour ~₹450 + 0.8 L oil ~₹450</t>
        </is>
      </c>
    </row>
    <row r="40">
      <c r="A40" s="18" t="inlineStr">
        <is>
          <t>Oil filter / strainer clean</t>
        </is>
      </c>
      <c r="B40" s="10" t="inlineStr">
        <is>
          <t>Petrol</t>
        </is>
      </c>
      <c r="C40" s="13" t="n">
        <v>150</v>
      </c>
      <c r="D40" s="19" t="n">
        <v>6000</v>
      </c>
      <c r="E40" s="20" t="n"/>
      <c r="F40" s="18" t="inlineStr">
        <is>
          <t>Most 110–125cc scooters have a mesh strainer</t>
        </is>
      </c>
    </row>
    <row r="41">
      <c r="A41" s="18" t="inlineStr">
        <is>
          <t>Air filter</t>
        </is>
      </c>
      <c r="B41" s="10" t="inlineStr">
        <is>
          <t>Petrol</t>
        </is>
      </c>
      <c r="C41" s="13" t="n">
        <v>350</v>
      </c>
      <c r="D41" s="19" t="n">
        <v>12000</v>
      </c>
      <c r="E41" s="20" t="n"/>
      <c r="F41" s="18" t="inlineStr"/>
    </row>
    <row r="42">
      <c r="A42" s="18" t="inlineStr">
        <is>
          <t>Spark plug</t>
        </is>
      </c>
      <c r="B42" s="10" t="inlineStr">
        <is>
          <t>Petrol</t>
        </is>
      </c>
      <c r="C42" s="13" t="n">
        <v>200</v>
      </c>
      <c r="D42" s="19" t="n">
        <v>10000</v>
      </c>
      <c r="E42" s="20" t="n"/>
      <c r="F42" s="18" t="inlineStr"/>
    </row>
    <row r="43">
      <c r="A43" s="18" t="inlineStr">
        <is>
          <t>CVT belt</t>
        </is>
      </c>
      <c r="B43" s="10" t="inlineStr">
        <is>
          <t>Petrol</t>
        </is>
      </c>
      <c r="C43" s="13" t="n">
        <v>1200</v>
      </c>
      <c r="D43" s="19" t="n">
        <v>20000</v>
      </c>
      <c r="E43" s="20" t="n"/>
      <c r="F43" s="18" t="inlineStr">
        <is>
          <t>Drive belt for automatic gearbox</t>
        </is>
      </c>
    </row>
    <row r="44">
      <c r="A44" s="18" t="inlineStr">
        <is>
          <t>CVT rollers / clutch shoes</t>
        </is>
      </c>
      <c r="B44" s="10" t="inlineStr">
        <is>
          <t>Petrol</t>
        </is>
      </c>
      <c r="C44" s="13" t="n">
        <v>800</v>
      </c>
      <c r="D44" s="19" t="n">
        <v>25000</v>
      </c>
      <c r="E44" s="20" t="n"/>
      <c r="F44" s="18" t="inlineStr"/>
    </row>
    <row r="45">
      <c r="A45" s="18" t="inlineStr">
        <is>
          <t>Brake shoes/pads (both)</t>
        </is>
      </c>
      <c r="B45" s="10" t="inlineStr">
        <is>
          <t>Both</t>
        </is>
      </c>
      <c r="C45" s="13" t="n">
        <v>500</v>
      </c>
      <c r="D45" s="19" t="n">
        <v>12000</v>
      </c>
      <c r="E45" s="20" t="n"/>
      <c r="F45" s="18" t="inlineStr"/>
    </row>
    <row r="46">
      <c r="A46" s="18" t="inlineStr">
        <is>
          <t>Tyres (pair)</t>
        </is>
      </c>
      <c r="B46" s="10" t="inlineStr">
        <is>
          <t>Both</t>
        </is>
      </c>
      <c r="C46" s="13" t="n">
        <v>3600</v>
      </c>
      <c r="D46" s="19" t="n">
        <v>25000</v>
      </c>
      <c r="E46" s="20" t="n"/>
      <c r="F46" s="18" t="inlineStr">
        <is>
          <t>Front + rear, fitted</t>
        </is>
      </c>
    </row>
    <row r="47">
      <c r="A47" s="18" t="inlineStr">
        <is>
          <t>12V battery</t>
        </is>
      </c>
      <c r="B47" s="10" t="inlineStr">
        <is>
          <t>Both</t>
        </is>
      </c>
      <c r="C47" s="13" t="n">
        <v>1500</v>
      </c>
      <c r="D47" s="21" t="n"/>
      <c r="E47" s="11" t="n">
        <v>3</v>
      </c>
      <c r="F47" s="18" t="inlineStr">
        <is>
          <t>EVs also carry a small 12V/aux battery (most models)</t>
        </is>
      </c>
    </row>
    <row r="48">
      <c r="A48" s="18" t="inlineStr">
        <is>
          <t>Periodic service (EV)</t>
        </is>
      </c>
      <c r="B48" s="10" t="inlineStr">
        <is>
          <t>EV</t>
        </is>
      </c>
      <c r="C48" s="13" t="n">
        <v>700</v>
      </c>
      <c r="D48" s="21" t="n"/>
      <c r="E48" s="11" t="n">
        <v>0.5</v>
      </c>
      <c r="F48" s="18" t="inlineStr">
        <is>
          <t>Every 6 months; mostly inspection, software, brakes</t>
        </is>
      </c>
    </row>
    <row r="49">
      <c r="A49" s="18" t="inlineStr">
        <is>
          <t>Suspension oil seals / bearings</t>
        </is>
      </c>
      <c r="B49" s="10" t="inlineStr">
        <is>
          <t>Both</t>
        </is>
      </c>
      <c r="C49" s="13" t="n">
        <v>2500</v>
      </c>
      <c r="D49" s="21" t="n"/>
      <c r="E49" s="11" t="n">
        <v>6</v>
      </c>
      <c r="F49" s="18" t="inlineStr">
        <is>
          <t>Once around year 6</t>
        </is>
      </c>
    </row>
    <row r="50">
      <c r="A50" s="18" t="inlineStr">
        <is>
          <t>Small parts (bulbs, cables, mirrors, misc.)</t>
        </is>
      </c>
      <c r="B50" s="10" t="inlineStr">
        <is>
          <t>Both</t>
        </is>
      </c>
      <c r="C50" s="13" t="n">
        <v>500</v>
      </c>
      <c r="D50" s="21" t="n"/>
      <c r="E50" s="11" t="n">
        <v>1</v>
      </c>
      <c r="F50" s="18" t="inlineStr">
        <is>
          <t>Per year</t>
        </is>
      </c>
    </row>
    <row r="51">
      <c r="A51" s="18" t="inlineStr">
        <is>
          <t>Electronics out of warranty (charger, controller, DC-DC) – EV</t>
        </is>
      </c>
      <c r="B51" s="10" t="inlineStr">
        <is>
          <t>EV</t>
        </is>
      </c>
      <c r="C51" s="13" t="n">
        <v>6000</v>
      </c>
      <c r="D51" s="21" t="n"/>
      <c r="E51" s="11" t="n">
        <v>8</v>
      </c>
      <c r="F51" s="18" t="inlineStr">
        <is>
          <t>Provision ~once in yrs 6–10</t>
        </is>
      </c>
    </row>
    <row r="52">
      <c r="A52" s="18" t="inlineStr">
        <is>
          <t>Carburettor/fuel-injection &amp; engine top-end work – petrol</t>
        </is>
      </c>
      <c r="B52" s="10" t="inlineStr">
        <is>
          <t>Petrol</t>
        </is>
      </c>
      <c r="C52" s="13" t="n">
        <v>4000</v>
      </c>
      <c r="D52" s="21" t="n"/>
      <c r="E52" s="11" t="n">
        <v>8</v>
      </c>
      <c r="F52" s="18" t="inlineStr">
        <is>
          <t>Provision ~once in yrs 6–10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9" customWidth="1" min="4" max="4"/>
    <col width="9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9" customWidth="1" min="11" max="11"/>
    <col width="9" customWidth="1" min="12" max="12"/>
    <col width="16" customWidth="1" min="13" max="13"/>
    <col width="14" customWidth="1" min="14" max="14"/>
    <col width="8" customWidth="1" min="15" max="15"/>
    <col width="24" customWidth="1" min="16" max="16"/>
    <col width="18" customWidth="1" min="17" max="17"/>
    <col width="26" customWidth="1" min="18" max="18"/>
    <col width="11" customWidth="1" min="19" max="19"/>
    <col width="9" customWidth="1" min="20" max="20"/>
    <col width="10" customWidth="1" min="21" max="21"/>
    <col width="26" customWidth="1" min="22" max="22"/>
    <col width="40" customWidth="1" min="23" max="23"/>
  </cols>
  <sheetData>
    <row r="1" ht="42" customHeight="1">
      <c r="A1" s="2" t="inlineStr">
        <is>
          <t>#</t>
        </is>
      </c>
      <c r="B1" s="2" t="inlineStr">
        <is>
          <t>Scooter</t>
        </is>
      </c>
      <c r="C1" s="2" t="inlineStr">
        <is>
          <t>Variant used for costing</t>
        </is>
      </c>
      <c r="D1" s="2" t="inlineStr">
        <is>
          <t>Type</t>
        </is>
      </c>
      <c r="E1" s="2" t="inlineStr">
        <is>
          <t>Kerb weight (kg)</t>
        </is>
      </c>
      <c r="F1" s="2" t="inlineStr">
        <is>
          <t>Within 85–95 kg?</t>
        </is>
      </c>
      <c r="G1" s="2" t="inlineStr">
        <is>
          <t>Weight vs your Pleasure (kg)</t>
        </is>
      </c>
      <c r="H1" s="2" t="inlineStr">
        <is>
          <t>Battery (kWh) / Engine (cc)</t>
        </is>
      </c>
      <c r="I1" s="2" t="inlineStr">
        <is>
          <t>Real-world range (km) / mileage (kmpl)</t>
        </is>
      </c>
      <c r="J1" s="2" t="inlineStr">
        <is>
          <t>Claimed range / mileage</t>
        </is>
      </c>
      <c r="K1" s="2" t="inlineStr">
        <is>
          <t>Top speed (km/h)</t>
        </is>
      </c>
      <c r="L1" s="2" t="inlineStr">
        <is>
          <t>Seat height (mm)</t>
        </is>
      </c>
      <c r="M1" s="2" t="inlineStr">
        <is>
          <t>Storage</t>
        </is>
      </c>
      <c r="N1" s="2" t="inlineStr">
        <is>
          <t>Charging time</t>
        </is>
      </c>
      <c r="O1" s="2" t="inlineStr">
        <is>
          <t>Fuel tank (L)</t>
        </is>
      </c>
      <c r="P1" s="2" t="inlineStr">
        <is>
          <t>Brakes</t>
        </is>
      </c>
      <c r="Q1" s="2" t="inlineStr">
        <is>
          <t>Tyres / wheels</t>
        </is>
      </c>
      <c r="R1" s="2" t="inlineStr">
        <is>
          <t>Warranty</t>
        </is>
      </c>
      <c r="S1" s="2" t="inlineStr">
        <is>
          <t>EV energy use (Wh/km, incl. charging loss)</t>
        </is>
      </c>
      <c r="T1" s="2" t="inlineStr">
        <is>
          <t>Peak power (kW)</t>
        </is>
      </c>
      <c r="U1" s="2" t="inlineStr">
        <is>
          <t>Battery pack for replacement (kWh)</t>
        </is>
      </c>
      <c r="V1" s="2" t="inlineStr">
        <is>
          <t>Thoothukudi dealer status</t>
        </is>
      </c>
      <c r="W1" s="2" t="inlineStr">
        <is>
          <t>Simple verdict</t>
        </is>
      </c>
    </row>
    <row r="2">
      <c r="A2" s="16" t="n">
        <v>1</v>
      </c>
      <c r="B2" s="22" t="inlineStr">
        <is>
          <t>Honda QC1</t>
        </is>
      </c>
      <c r="C2" s="18" t="inlineStr">
        <is>
          <t>Standard (only variant)</t>
        </is>
      </c>
      <c r="D2" s="23" t="inlineStr">
        <is>
          <t>EV</t>
        </is>
      </c>
      <c r="E2" s="20" t="n">
        <v>89.5</v>
      </c>
      <c r="F2" s="16">
        <f>IF(AND(E2&gt;=Inputs!$B$18,E2&lt;=Inputs!$B$19),"YES","No – "&amp;TEXT(E2-Inputs!$B$19,"0.0")&amp;" kg over")</f>
        <v/>
      </c>
      <c r="G2" s="24">
        <f>E2-Inputs!$B$17</f>
        <v/>
      </c>
      <c r="H2" s="20" t="n">
        <v>1.5</v>
      </c>
      <c r="I2" s="20" t="n">
        <v>60</v>
      </c>
      <c r="J2" s="18" t="inlineStr">
        <is>
          <t>80 km (claimed)</t>
        </is>
      </c>
      <c r="K2" s="20" t="n">
        <v>50</v>
      </c>
      <c r="L2" s="20" t="n">
        <v>705</v>
      </c>
      <c r="M2" s="18" t="inlineStr">
        <is>
          <t>26 L</t>
        </is>
      </c>
      <c r="N2" s="18" t="inlineStr">
        <is>
          <t>4 h 40 min (0–80%)</t>
        </is>
      </c>
      <c r="O2" s="25" t="inlineStr">
        <is>
          <t>—</t>
        </is>
      </c>
      <c r="P2" s="18" t="inlineStr">
        <is>
          <t>Drum/drum, CBS †</t>
        </is>
      </c>
      <c r="Q2" s="18" t="inlineStr">
        <is>
          <t>12-inch front †</t>
        </is>
      </c>
      <c r="R2" s="18" t="inlineStr">
        <is>
          <t>Battery 3 yr/50,000 km † – confirm</t>
        </is>
      </c>
      <c r="S2" s="20" t="n">
        <v>28</v>
      </c>
      <c r="T2" s="20" t="n">
        <v>1.8</v>
      </c>
      <c r="U2" s="20" t="n">
        <v>1.5</v>
      </c>
      <c r="V2" s="26" t="inlineStr">
        <is>
          <t>Not confirmed in Thoothukudi</t>
        </is>
      </c>
      <c r="W2" s="18" t="inlineStr">
        <is>
          <t>Lightest real scooter; 50 km/h max; only if Pearl Honda sells &amp; services it</t>
        </is>
      </c>
    </row>
    <row r="3">
      <c r="A3" s="16" t="n">
        <v>2</v>
      </c>
      <c r="B3" s="22" t="inlineStr">
        <is>
          <t>Kinetic DX</t>
        </is>
      </c>
      <c r="C3" s="18" t="inlineStr">
        <is>
          <t>DX 2.6 kWh (Standard)</t>
        </is>
      </c>
      <c r="D3" s="23" t="inlineStr">
        <is>
          <t>EV</t>
        </is>
      </c>
      <c r="E3" s="20" t="n">
        <v>90</v>
      </c>
      <c r="F3" s="16">
        <f>IF(AND(E3&gt;=Inputs!$B$18,E3&lt;=Inputs!$B$19),"YES","No – "&amp;TEXT(E3-Inputs!$B$19,"0.0")&amp;" kg over")</f>
        <v/>
      </c>
      <c r="G3" s="24">
        <f>E3-Inputs!$B$17</f>
        <v/>
      </c>
      <c r="H3" s="20" t="n">
        <v>2.6</v>
      </c>
      <c r="I3" s="20" t="n">
        <v>80</v>
      </c>
      <c r="J3" s="18" t="inlineStr">
        <is>
          <t>102 km (claimed)</t>
        </is>
      </c>
      <c r="K3" s="20" t="n">
        <v>80</v>
      </c>
      <c r="L3" s="25" t="inlineStr">
        <is>
          <t>n/a</t>
        </is>
      </c>
      <c r="M3" s="18" t="inlineStr">
        <is>
          <t>Not confirmed</t>
        </is>
      </c>
      <c r="N3" s="18" t="inlineStr">
        <is>
          <t>3 h (0–80%)</t>
        </is>
      </c>
      <c r="O3" s="25" t="inlineStr">
        <is>
          <t>—</t>
        </is>
      </c>
      <c r="P3" s="18" t="inlineStr">
        <is>
          <t>220 mm disc front / 130 mm drum rear, CBS ✅</t>
        </is>
      </c>
      <c r="Q3" s="18" t="inlineStr">
        <is>
          <t>12-inch alloys ✅</t>
        </is>
      </c>
      <c r="R3" s="18" t="inlineStr">
        <is>
          <t>Not confirmed</t>
        </is>
      </c>
      <c r="S3" s="20" t="n">
        <v>34</v>
      </c>
      <c r="T3" s="20" t="n">
        <v>4.7</v>
      </c>
      <c r="U3" s="20" t="n">
        <v>2.6</v>
      </c>
      <c r="V3" s="26" t="inlineStr">
        <is>
          <t>Not confirmed in Thoothukudi (no dealer in Thoothukudi or Tirunelveli)</t>
        </is>
      </c>
      <c r="W3" s="18" t="inlineStr">
        <is>
          <t>Best EV spec in your weight range, but NO local dealer = risky</t>
        </is>
      </c>
    </row>
    <row r="4">
      <c r="A4" s="16" t="n">
        <v>3</v>
      </c>
      <c r="B4" s="22" t="inlineStr">
        <is>
          <t>Kinetic Green Zulu</t>
        </is>
      </c>
      <c r="C4" s="18" t="inlineStr">
        <is>
          <t>Standard (only variant)</t>
        </is>
      </c>
      <c r="D4" s="23" t="inlineStr">
        <is>
          <t>EV</t>
        </is>
      </c>
      <c r="E4" s="20" t="n">
        <v>93</v>
      </c>
      <c r="F4" s="16">
        <f>IF(AND(E4&gt;=Inputs!$B$18,E4&lt;=Inputs!$B$19),"YES","No – "&amp;TEXT(E4-Inputs!$B$19,"0.0")&amp;" kg over")</f>
        <v/>
      </c>
      <c r="G4" s="24">
        <f>E4-Inputs!$B$17</f>
        <v/>
      </c>
      <c r="H4" s="20" t="n">
        <v>2.27</v>
      </c>
      <c r="I4" s="20" t="n">
        <v>75</v>
      </c>
      <c r="J4" s="18" t="inlineStr">
        <is>
          <t>104 km (claimed)</t>
        </is>
      </c>
      <c r="K4" s="20" t="n">
        <v>60</v>
      </c>
      <c r="L4" s="25" t="inlineStr">
        <is>
          <t>n/a</t>
        </is>
      </c>
      <c r="M4" s="18" t="inlineStr">
        <is>
          <t>Front + under-seat</t>
        </is>
      </c>
      <c r="N4" s="18" t="inlineStr">
        <is>
          <t>3 h (0–80%, 15A socket)</t>
        </is>
      </c>
      <c r="O4" s="25" t="inlineStr">
        <is>
          <t>—</t>
        </is>
      </c>
      <c r="P4" s="18" t="inlineStr">
        <is>
          <t>Not confirmed</t>
        </is>
      </c>
      <c r="Q4" s="18" t="inlineStr">
        <is>
          <t>Not confirmed</t>
        </is>
      </c>
      <c r="R4" s="18" t="inlineStr">
        <is>
          <t>Not confirmed</t>
        </is>
      </c>
      <c r="S4" s="20" t="n">
        <v>32</v>
      </c>
      <c r="T4" s="20" t="n">
        <v>2.1</v>
      </c>
      <c r="U4" s="20" t="n">
        <v>2.27</v>
      </c>
      <c r="V4" s="26" t="inlineStr">
        <is>
          <t>Not confirmed in Thoothukudi</t>
        </is>
      </c>
      <c r="W4" s="18" t="inlineStr">
        <is>
          <t>In range, but small brand with no local support</t>
        </is>
      </c>
    </row>
    <row r="5">
      <c r="A5" s="16" t="n">
        <v>4</v>
      </c>
      <c r="B5" s="22" t="inlineStr">
        <is>
          <t>TVS Orbiter (closest alternative)</t>
        </is>
      </c>
      <c r="C5" s="18" t="inlineStr">
        <is>
          <t>V1 1.8 kWh</t>
        </is>
      </c>
      <c r="D5" s="23" t="inlineStr">
        <is>
          <t>EV</t>
        </is>
      </c>
      <c r="E5" s="20" t="n">
        <v>101</v>
      </c>
      <c r="F5" s="16">
        <f>IF(AND(E5&gt;=Inputs!$B$18,E5&lt;=Inputs!$B$19),"YES","No – "&amp;TEXT(E5-Inputs!$B$19,"0.0")&amp;" kg over")</f>
        <v/>
      </c>
      <c r="G5" s="24">
        <f>E5-Inputs!$B$17</f>
        <v/>
      </c>
      <c r="H5" s="20" t="n">
        <v>1.8</v>
      </c>
      <c r="I5" s="20" t="n">
        <v>70</v>
      </c>
      <c r="J5" s="18" t="inlineStr">
        <is>
          <t>86 km (claimed)</t>
        </is>
      </c>
      <c r="K5" s="20" t="n">
        <v>68</v>
      </c>
      <c r="L5" s="20" t="n">
        <v>760</v>
      </c>
      <c r="M5" s="18" t="inlineStr">
        <is>
          <t>34 L</t>
        </is>
      </c>
      <c r="N5" s="18" t="inlineStr">
        <is>
          <t>Not confirmed</t>
        </is>
      </c>
      <c r="O5" s="25" t="inlineStr">
        <is>
          <t>—</t>
        </is>
      </c>
      <c r="P5" s="18" t="inlineStr">
        <is>
          <t>Combined braking †</t>
        </is>
      </c>
      <c r="Q5" s="18" t="inlineStr">
        <is>
          <t>14-inch front †</t>
        </is>
      </c>
      <c r="R5" s="18" t="inlineStr">
        <is>
          <t>3 yr † – confirm</t>
        </is>
      </c>
      <c r="S5" s="20" t="n">
        <v>29</v>
      </c>
      <c r="T5" s="20" t="n"/>
      <c r="U5" s="20" t="n">
        <v>1.8</v>
      </c>
      <c r="V5" s="27" t="inlineStr">
        <is>
          <t>TVS dealers listed in city (Orbiter listing to confirm)</t>
        </is>
      </c>
      <c r="W5" s="18" t="inlineStr">
        <is>
          <t>7 kg over your limit, but best local service of any light EV</t>
        </is>
      </c>
    </row>
    <row r="6">
      <c r="A6" s="16" t="n">
        <v>5</v>
      </c>
      <c r="B6" s="22" t="inlineStr">
        <is>
          <t>Ampere Magnus Neo (closest alternative)</t>
        </is>
      </c>
      <c r="C6" s="18" t="inlineStr">
        <is>
          <t>Standard</t>
        </is>
      </c>
      <c r="D6" s="23" t="inlineStr">
        <is>
          <t>EV</t>
        </is>
      </c>
      <c r="E6" s="20" t="n">
        <v>103</v>
      </c>
      <c r="F6" s="16">
        <f>IF(AND(E6&gt;=Inputs!$B$18,E6&lt;=Inputs!$B$19),"YES","No – "&amp;TEXT(E6-Inputs!$B$19,"0.0")&amp;" kg over")</f>
        <v/>
      </c>
      <c r="G6" s="24">
        <f>E6-Inputs!$B$17</f>
        <v/>
      </c>
      <c r="H6" s="20" t="n">
        <v>2.3</v>
      </c>
      <c r="I6" s="20" t="n">
        <v>85</v>
      </c>
      <c r="J6" s="18" t="inlineStr">
        <is>
          <t>~118 km IDC</t>
        </is>
      </c>
      <c r="K6" s="20" t="n">
        <v>65</v>
      </c>
      <c r="L6" s="25" t="inlineStr">
        <is>
          <t>n/a</t>
        </is>
      </c>
      <c r="M6" s="18" t="inlineStr">
        <is>
          <t>Not confirmed</t>
        </is>
      </c>
      <c r="N6" s="18" t="inlineStr">
        <is>
          <t>5 h (0–80%)</t>
        </is>
      </c>
      <c r="O6" s="25" t="inlineStr">
        <is>
          <t>—</t>
        </is>
      </c>
      <c r="P6" s="18" t="inlineStr">
        <is>
          <t>Not confirmed</t>
        </is>
      </c>
      <c r="Q6" s="18" t="inlineStr">
        <is>
          <t>Not confirmed</t>
        </is>
      </c>
      <c r="R6" s="18" t="inlineStr">
        <is>
          <t>Not confirmed</t>
        </is>
      </c>
      <c r="S6" s="20" t="n">
        <v>30</v>
      </c>
      <c r="T6" s="20" t="n"/>
      <c r="U6" s="20" t="n">
        <v>2.3</v>
      </c>
      <c r="V6" s="26" t="inlineStr">
        <is>
          <t>Not confirmed in Thoothukudi</t>
        </is>
      </c>
      <c r="W6" s="18" t="inlineStr">
        <is>
          <t>LFP battery (long life) but 103 kg and no confirmed dealer</t>
        </is>
      </c>
    </row>
    <row r="7">
      <c r="A7" s="16" t="n">
        <v>6</v>
      </c>
      <c r="B7" s="28" t="inlineStr">
        <is>
          <t>Yamaha Fascino 125 Fi Hybrid (closest alternative)</t>
        </is>
      </c>
      <c r="C7" s="18" t="inlineStr">
        <is>
          <t>Drum</t>
        </is>
      </c>
      <c r="D7" s="29" t="inlineStr">
        <is>
          <t>Petrol</t>
        </is>
      </c>
      <c r="E7" s="20" t="n">
        <v>99</v>
      </c>
      <c r="F7" s="16">
        <f>IF(AND(E7&gt;=Inputs!$B$18,E7&lt;=Inputs!$B$19),"YES","No – "&amp;TEXT(E7-Inputs!$B$19,"0.0")&amp;" kg over")</f>
        <v/>
      </c>
      <c r="G7" s="24">
        <f>E7-Inputs!$B$17</f>
        <v/>
      </c>
      <c r="H7" s="20" t="n">
        <v>125</v>
      </c>
      <c r="I7" s="20" t="n">
        <v>52</v>
      </c>
      <c r="J7" s="18" t="inlineStr">
        <is>
          <t>~49 kmpl ARAI</t>
        </is>
      </c>
      <c r="K7" s="20" t="n">
        <v>90</v>
      </c>
      <c r="L7" s="20" t="n">
        <v>780</v>
      </c>
      <c r="M7" s="18" t="inlineStr">
        <is>
          <t>21 L †</t>
        </is>
      </c>
      <c r="N7" s="18" t="inlineStr">
        <is>
          <t>—</t>
        </is>
      </c>
      <c r="O7" s="20" t="n">
        <v>5.2</v>
      </c>
      <c r="P7" s="18" t="inlineStr">
        <is>
          <t>Drum/drum, UBS combined braking †</t>
        </is>
      </c>
      <c r="Q7" s="18" t="inlineStr">
        <is>
          <t>12-inch front †</t>
        </is>
      </c>
      <c r="R7" s="18" t="inlineStr">
        <is>
          <t>Confirm at dealer †</t>
        </is>
      </c>
      <c r="S7" s="20" t="n"/>
      <c r="T7" s="20" t="n">
        <v>6</v>
      </c>
      <c r="U7" s="20" t="n"/>
      <c r="V7" s="27" t="inlineStr">
        <is>
          <t>Lakhmi Motors (Tiruchendur Rd) – listed</t>
        </is>
      </c>
      <c r="W7" s="18" t="inlineStr">
        <is>
          <t>Lightest petrol SCOOTER on sale; peppy and frugal</t>
        </is>
      </c>
    </row>
    <row r="8">
      <c r="A8" s="16" t="n">
        <v>7</v>
      </c>
      <c r="B8" s="28" t="inlineStr">
        <is>
          <t>Yamaha RayZR 125 Fi Hybrid (closest alternative)</t>
        </is>
      </c>
      <c r="C8" s="18" t="inlineStr">
        <is>
          <t>Drum</t>
        </is>
      </c>
      <c r="D8" s="29" t="inlineStr">
        <is>
          <t>Petrol</t>
        </is>
      </c>
      <c r="E8" s="20" t="n">
        <v>99</v>
      </c>
      <c r="F8" s="16">
        <f>IF(AND(E8&gt;=Inputs!$B$18,E8&lt;=Inputs!$B$19),"YES","No – "&amp;TEXT(E8-Inputs!$B$19,"0.0")&amp;" kg over")</f>
        <v/>
      </c>
      <c r="G8" s="24">
        <f>E8-Inputs!$B$17</f>
        <v/>
      </c>
      <c r="H8" s="20" t="n">
        <v>125</v>
      </c>
      <c r="I8" s="20" t="n">
        <v>50</v>
      </c>
      <c r="J8" s="18" t="inlineStr">
        <is>
          <t>~49 kmpl ARAI †</t>
        </is>
      </c>
      <c r="K8" s="20" t="n">
        <v>90</v>
      </c>
      <c r="L8" s="20" t="n">
        <v>785</v>
      </c>
      <c r="M8" s="18" t="inlineStr">
        <is>
          <t>21 L †</t>
        </is>
      </c>
      <c r="N8" s="18" t="inlineStr">
        <is>
          <t>—</t>
        </is>
      </c>
      <c r="O8" s="20" t="n">
        <v>5.2</v>
      </c>
      <c r="P8" s="18" t="inlineStr">
        <is>
          <t>Drum/drum, UBS †</t>
        </is>
      </c>
      <c r="Q8" s="18" t="inlineStr">
        <is>
          <t>12-inch front †</t>
        </is>
      </c>
      <c r="R8" s="18" t="inlineStr">
        <is>
          <t>Confirm at dealer †</t>
        </is>
      </c>
      <c r="S8" s="20" t="n"/>
      <c r="T8" s="20" t="n">
        <v>6</v>
      </c>
      <c r="U8" s="20" t="n"/>
      <c r="V8" s="27" t="inlineStr">
        <is>
          <t>Lakhmi Motors (Tiruchendur Rd) – listed</t>
        </is>
      </c>
      <c r="W8" s="18" t="inlineStr">
        <is>
          <t>Same engine as Fascino, sportier &amp; firmer; small seat for pillion</t>
        </is>
      </c>
    </row>
    <row r="9">
      <c r="A9" s="16" t="n">
        <v>8</v>
      </c>
      <c r="B9" s="28" t="inlineStr">
        <is>
          <t>TVS XL100 (moped)</t>
        </is>
      </c>
      <c r="C9" s="18" t="inlineStr">
        <is>
          <t>Heavy Duty i-Touchstart</t>
        </is>
      </c>
      <c r="D9" s="29" t="inlineStr">
        <is>
          <t>Petrol</t>
        </is>
      </c>
      <c r="E9" s="20" t="n">
        <v>89</v>
      </c>
      <c r="F9" s="16">
        <f>IF(AND(E9&gt;=Inputs!$B$18,E9&lt;=Inputs!$B$19),"YES","No – "&amp;TEXT(E9-Inputs!$B$19,"0.0")&amp;" kg over")</f>
        <v/>
      </c>
      <c r="G9" s="24">
        <f>E9-Inputs!$B$17</f>
        <v/>
      </c>
      <c r="H9" s="20" t="n">
        <v>99.7</v>
      </c>
      <c r="I9" s="20" t="n">
        <v>57</v>
      </c>
      <c r="J9" s="18" t="inlineStr">
        <is>
          <t>67 kmpl ARAI ✅</t>
        </is>
      </c>
      <c r="K9" s="20" t="n">
        <v>60</v>
      </c>
      <c r="L9" s="25" t="inlineStr">
        <is>
          <t>n/a</t>
        </is>
      </c>
      <c r="M9" s="18" t="inlineStr">
        <is>
          <t>No boot (carrier/hook)</t>
        </is>
      </c>
      <c r="N9" s="18" t="inlineStr">
        <is>
          <t>—</t>
        </is>
      </c>
      <c r="O9" s="20" t="n">
        <v>4</v>
      </c>
      <c r="P9" s="18" t="inlineStr">
        <is>
          <t>Drum/drum †</t>
        </is>
      </c>
      <c r="Q9" s="18" t="inlineStr">
        <is>
          <t>16-inch spoke †</t>
        </is>
      </c>
      <c r="R9" s="18" t="inlineStr">
        <is>
          <t>Confirm at dealer</t>
        </is>
      </c>
      <c r="S9" s="20" t="n"/>
      <c r="T9" s="20" t="n">
        <v>3.2</v>
      </c>
      <c r="U9" s="20" t="n"/>
      <c r="V9" s="27" t="inlineStr">
        <is>
          <t>TVS dealers listed in city</t>
        </is>
      </c>
      <c r="W9" s="18" t="inlineStr">
        <is>
          <t>Within 85–95 kg and cheapest – but a moped, not a scooter</t>
        </is>
      </c>
    </row>
    <row r="10">
      <c r="A10" s="16" t="n">
        <v>9</v>
      </c>
      <c r="B10" s="28" t="inlineStr">
        <is>
          <t>TVS Zest 110 (closest alternative)</t>
        </is>
      </c>
      <c r="C10" s="18" t="inlineStr">
        <is>
          <t>Gloss</t>
        </is>
      </c>
      <c r="D10" s="29" t="inlineStr">
        <is>
          <t>Petrol</t>
        </is>
      </c>
      <c r="E10" s="20" t="n">
        <v>103</v>
      </c>
      <c r="F10" s="16">
        <f>IF(AND(E10&gt;=Inputs!$B$18,E10&lt;=Inputs!$B$19),"YES","No – "&amp;TEXT(E10-Inputs!$B$19,"0.0")&amp;" kg over")</f>
        <v/>
      </c>
      <c r="G10" s="24">
        <f>E10-Inputs!$B$17</f>
        <v/>
      </c>
      <c r="H10" s="20" t="n">
        <v>109.7</v>
      </c>
      <c r="I10" s="20" t="n">
        <v>47</v>
      </c>
      <c r="J10" s="18" t="inlineStr">
        <is>
          <t>45 kmpl ✅</t>
        </is>
      </c>
      <c r="K10" s="20" t="n">
        <v>80</v>
      </c>
      <c r="L10" s="20" t="n">
        <v>760</v>
      </c>
      <c r="M10" s="18" t="inlineStr">
        <is>
          <t>19 L †</t>
        </is>
      </c>
      <c r="N10" s="18" t="inlineStr">
        <is>
          <t>—</t>
        </is>
      </c>
      <c r="O10" s="20" t="n">
        <v>5</v>
      </c>
      <c r="P10" s="18" t="inlineStr">
        <is>
          <t>Drum/drum, combined braking †</t>
        </is>
      </c>
      <c r="Q10" s="18" t="inlineStr">
        <is>
          <t>10-inch †</t>
        </is>
      </c>
      <c r="R10" s="18" t="inlineStr">
        <is>
          <t>Confirm at dealer</t>
        </is>
      </c>
      <c r="S10" s="20" t="n"/>
      <c r="T10" s="20" t="n">
        <v>5.7</v>
      </c>
      <c r="U10" s="20" t="n"/>
      <c r="V10" s="27" t="inlineStr">
        <is>
          <t>TVS dealers listed in city</t>
        </is>
      </c>
      <c r="W10" s="18" t="inlineStr">
        <is>
          <t>Low 760 mm seat, easy to handle; older design</t>
        </is>
      </c>
    </row>
    <row r="11">
      <c r="A11" s="16" t="n">
        <v>10</v>
      </c>
      <c r="B11" s="28" t="inlineStr">
        <is>
          <t>Honda Dio 110 (closest alternative)</t>
        </is>
      </c>
      <c r="C11" s="18" t="inlineStr">
        <is>
          <t>STD</t>
        </is>
      </c>
      <c r="D11" s="29" t="inlineStr">
        <is>
          <t>Petrol</t>
        </is>
      </c>
      <c r="E11" s="20" t="n">
        <v>103</v>
      </c>
      <c r="F11" s="16">
        <f>IF(AND(E11&gt;=Inputs!$B$18,E11&lt;=Inputs!$B$19),"YES","No – "&amp;TEXT(E11-Inputs!$B$19,"0.0")&amp;" kg over")</f>
        <v/>
      </c>
      <c r="G11" s="24">
        <f>E11-Inputs!$B$17</f>
        <v/>
      </c>
      <c r="H11" s="20" t="n">
        <v>109.51</v>
      </c>
      <c r="I11" s="20" t="n">
        <v>50</v>
      </c>
      <c r="J11" s="18" t="inlineStr">
        <is>
          <t>~50 kmpl est.</t>
        </is>
      </c>
      <c r="K11" s="20" t="n">
        <v>83</v>
      </c>
      <c r="L11" s="20" t="n">
        <v>765</v>
      </c>
      <c r="M11" s="18" t="inlineStr">
        <is>
          <t>18 L †</t>
        </is>
      </c>
      <c r="N11" s="18" t="inlineStr">
        <is>
          <t>—</t>
        </is>
      </c>
      <c r="O11" s="20" t="n">
        <v>5.3</v>
      </c>
      <c r="P11" s="18" t="inlineStr">
        <is>
          <t>Drum/drum, CBS †</t>
        </is>
      </c>
      <c r="Q11" s="18" t="inlineStr">
        <is>
          <t>12-inch front / 10-inch rear †</t>
        </is>
      </c>
      <c r="R11" s="18" t="inlineStr">
        <is>
          <t>3 yr + extended (Honda) †</t>
        </is>
      </c>
      <c r="S11" s="20" t="n"/>
      <c r="T11" s="20" t="n">
        <v>5.7</v>
      </c>
      <c r="U11" s="20" t="n"/>
      <c r="V11" s="27" t="inlineStr">
        <is>
          <t>Pearl Honda (Ettayapuram Rd) – listed</t>
        </is>
      </c>
      <c r="W11" s="18" t="inlineStr">
        <is>
          <t>Honda reliability in a lighter body than Activa</t>
        </is>
      </c>
    </row>
    <row r="12"/>
    <row r="13">
      <c r="B13" s="9" t="inlineStr">
        <is>
          <t>Real-world range/mileage: Fascino 50–55 (owners), XL100 55–60 (owners) are reported figures; all other real-world numbers are ESTIMATES (≈75–80% of claimed for EVs).</t>
        </is>
      </c>
    </row>
    <row r="14">
      <c r="B14" s="9" t="inlineStr">
        <is>
          <t>✅ = confirmed in 2026 source; † = brochure figure not re-verified; 'Not confirmed' = could not find it – ask the dealer.</t>
        </is>
      </c>
    </row>
    <row r="15">
      <c r="B15" s="9" t="inlineStr">
        <is>
          <t>NOT included: TVS Scooty Pep+ (93 kg) – discontinued Nov 2024. Low-speed EVs (Odysse V2 75 kg, Okaya ClassIQ, etc.) – max 25 km/h, not a real Pleasure replacement. Hero Electric Optima (93 kg) – company in insolvency. Ola S1 Z/Gig – weight not officially published, no confirmed Thoothukudi service.</t>
        </is>
      </c>
    </row>
  </sheetData>
  <conditionalFormatting sqref="F2:F11">
    <cfRule type="expression" priority="1" dxfId="0">
      <formula>$F2="YES"</formula>
    </cfRule>
    <cfRule type="expression" priority="2" dxfId="1">
      <formula>$F2&lt;&gt;"YES"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8" customWidth="1" min="4" max="4"/>
    <col width="10" customWidth="1" min="5" max="5"/>
    <col width="12" customWidth="1" min="6" max="6"/>
    <col width="14" customWidth="1" min="7" max="7"/>
    <col width="9" customWidth="1" min="8" max="8"/>
    <col width="8" customWidth="1" min="9" max="9"/>
    <col width="12" customWidth="1" min="10" max="10"/>
    <col width="40" customWidth="1" min="11" max="11"/>
    <col width="13" customWidth="1" min="12" max="12"/>
    <col width="14" customWidth="1" min="13" max="13"/>
    <col width="34" customWidth="1" min="14" max="14"/>
  </cols>
  <sheetData>
    <row r="1" ht="42" customHeight="1">
      <c r="A1" s="2" t="inlineStr">
        <is>
          <t>Manufacturer</t>
        </is>
      </c>
      <c r="B1" s="2" t="inlineStr">
        <is>
          <t>Model</t>
        </is>
      </c>
      <c r="C1" s="2" t="inlineStr">
        <is>
          <t>Variant</t>
        </is>
      </c>
      <c r="D1" s="2" t="inlineStr">
        <is>
          <t>Type</t>
        </is>
      </c>
      <c r="E1" s="2" t="inlineStr">
        <is>
          <t>Kerb weight (kg)</t>
        </is>
      </c>
      <c r="F1" s="2" t="inlineStr">
        <is>
          <t>Battery / Engine</t>
        </is>
      </c>
      <c r="G1" s="2" t="inlineStr">
        <is>
          <t>Range / mileage</t>
        </is>
      </c>
      <c r="H1" s="2" t="inlineStr">
        <is>
          <t>Top speed</t>
        </is>
      </c>
      <c r="I1" s="2" t="inlineStr">
        <is>
          <t>Seat (mm)</t>
        </is>
      </c>
      <c r="J1" s="2" t="inlineStr">
        <is>
          <t>Storage</t>
        </is>
      </c>
      <c r="K1" s="2" t="inlineStr">
        <is>
          <t>Major features</t>
        </is>
      </c>
      <c r="L1" s="2" t="inlineStr">
        <is>
          <t>Ex-showroom (₹)</t>
        </is>
      </c>
      <c r="M1" s="2" t="inlineStr">
        <is>
          <t>On-road Thoothukudi (₹)</t>
        </is>
      </c>
      <c r="N1" s="2" t="inlineStr">
        <is>
          <t>Price status</t>
        </is>
      </c>
    </row>
    <row r="2">
      <c r="A2" s="10" t="inlineStr">
        <is>
          <t>Honda</t>
        </is>
      </c>
      <c r="B2" s="18" t="inlineStr">
        <is>
          <t>QC1</t>
        </is>
      </c>
      <c r="C2" s="18" t="inlineStr">
        <is>
          <t>Standard — ONLY ONE VARIANT EXISTS</t>
        </is>
      </c>
      <c r="D2" s="23" t="inlineStr">
        <is>
          <t>EV</t>
        </is>
      </c>
      <c r="E2" s="16" t="n">
        <v>89.5</v>
      </c>
      <c r="F2" s="10" t="inlineStr">
        <is>
          <t>1.5 kWh fixed</t>
        </is>
      </c>
      <c r="G2" s="10" t="inlineStr">
        <is>
          <t>80 km claimed / ~60 real</t>
        </is>
      </c>
      <c r="H2" s="16" t="n">
        <v>50</v>
      </c>
      <c r="I2" s="16" t="n">
        <v>705</v>
      </c>
      <c r="J2" s="10" t="inlineStr">
        <is>
          <t>26 L</t>
        </is>
      </c>
      <c r="K2" s="18" t="inlineStr">
        <is>
          <t>LCD display, USB-C, fixed battery, 4h40 charge</t>
        </is>
      </c>
      <c r="L2" s="30" t="n">
        <v>90490</v>
      </c>
      <c r="M2" s="30" t="n">
        <v>97274</v>
      </c>
      <c r="N2" s="18" t="inlineStr">
        <is>
          <t>Thoothukudi listing (Autocar, 5 Jun 2026) ✅</t>
        </is>
      </c>
    </row>
    <row r="3">
      <c r="A3" s="10" t="inlineStr">
        <is>
          <t>Honda</t>
        </is>
      </c>
      <c r="B3" s="18" t="inlineStr">
        <is>
          <t>Dio 110</t>
        </is>
      </c>
      <c r="C3" s="18" t="inlineStr">
        <is>
          <t>STD</t>
        </is>
      </c>
      <c r="D3" s="29" t="inlineStr">
        <is>
          <t>Petrol</t>
        </is>
      </c>
      <c r="E3" s="16" t="n">
        <v>103</v>
      </c>
      <c r="F3" s="10" t="inlineStr">
        <is>
          <t>109.5 cc</t>
        </is>
      </c>
      <c r="G3" s="10" t="inlineStr">
        <is>
          <t>~50 kmpl</t>
        </is>
      </c>
      <c r="H3" s="16" t="n">
        <v>83</v>
      </c>
      <c r="I3" s="16" t="n">
        <v>765</v>
      </c>
      <c r="J3" s="10" t="inlineStr">
        <is>
          <t>18 L</t>
        </is>
      </c>
      <c r="K3" s="18" t="inlineStr">
        <is>
          <t>CBS, idle-stop †</t>
        </is>
      </c>
      <c r="L3" s="30" t="n"/>
      <c r="M3" s="30" t="n">
        <v>85473</v>
      </c>
      <c r="N3" s="18" t="inlineStr">
        <is>
          <t>Thoothukudi listing ✅</t>
        </is>
      </c>
    </row>
    <row r="4">
      <c r="A4" s="10" t="inlineStr">
        <is>
          <t>Honda</t>
        </is>
      </c>
      <c r="B4" s="18" t="inlineStr">
        <is>
          <t>Dio 110</t>
        </is>
      </c>
      <c r="C4" s="18" t="inlineStr">
        <is>
          <t>DLX</t>
        </is>
      </c>
      <c r="D4" s="29" t="inlineStr">
        <is>
          <t>Petrol</t>
        </is>
      </c>
      <c r="E4" s="16" t="n">
        <v>103</v>
      </c>
      <c r="F4" s="10" t="inlineStr">
        <is>
          <t>109.5 cc</t>
        </is>
      </c>
      <c r="G4" s="10" t="inlineStr">
        <is>
          <t>~50 kmpl</t>
        </is>
      </c>
      <c r="H4" s="16" t="n">
        <v>83</v>
      </c>
      <c r="I4" s="16" t="n">
        <v>765</v>
      </c>
      <c r="J4" s="10" t="inlineStr">
        <is>
          <t>18 L</t>
        </is>
      </c>
      <c r="K4" s="18" t="inlineStr">
        <is>
          <t>Alloy wheels, digital meter †</t>
        </is>
      </c>
      <c r="L4" s="30" t="n">
        <v>88229</v>
      </c>
      <c r="M4" s="30" t="n">
        <v>92559</v>
      </c>
      <c r="N4" s="18" t="inlineStr">
        <is>
          <t>Thoothukudi listing ✅ (variant naming ⚠️)</t>
        </is>
      </c>
    </row>
    <row r="5">
      <c r="A5" s="10" t="inlineStr">
        <is>
          <t>Honda</t>
        </is>
      </c>
      <c r="B5" s="18" t="inlineStr">
        <is>
          <t>Dio 110</t>
        </is>
      </c>
      <c r="C5" s="18" t="inlineStr">
        <is>
          <t>H-Smart / top</t>
        </is>
      </c>
      <c r="D5" s="29" t="inlineStr">
        <is>
          <t>Petrol</t>
        </is>
      </c>
      <c r="E5" s="10" t="inlineStr">
        <is>
          <t>103–105 †</t>
        </is>
      </c>
      <c r="F5" s="10" t="inlineStr">
        <is>
          <t>109.5 cc</t>
        </is>
      </c>
      <c r="G5" s="10" t="inlineStr">
        <is>
          <t>~50 kmpl</t>
        </is>
      </c>
      <c r="H5" s="16" t="n">
        <v>83</v>
      </c>
      <c r="I5" s="16" t="n">
        <v>765</v>
      </c>
      <c r="J5" s="10" t="inlineStr">
        <is>
          <t>18 L</t>
        </is>
      </c>
      <c r="K5" s="18" t="inlineStr">
        <is>
          <t>Smart key †</t>
        </is>
      </c>
      <c r="L5" s="30" t="n"/>
      <c r="M5" s="30" t="n">
        <v>98280</v>
      </c>
      <c r="N5" s="18" t="inlineStr">
        <is>
          <t>Thoothukudi listing ✅ (variant naming ⚠️)</t>
        </is>
      </c>
    </row>
    <row r="6">
      <c r="A6" s="10" t="inlineStr">
        <is>
          <t>Kinetic</t>
        </is>
      </c>
      <c r="B6" s="18" t="inlineStr">
        <is>
          <t>DX</t>
        </is>
      </c>
      <c r="C6" s="18" t="inlineStr">
        <is>
          <t>DX 2.6 kWh</t>
        </is>
      </c>
      <c r="D6" s="23" t="inlineStr">
        <is>
          <t>EV</t>
        </is>
      </c>
      <c r="E6" s="16" t="n">
        <v>90</v>
      </c>
      <c r="F6" s="10" t="inlineStr">
        <is>
          <t>2.6 kWh LFP</t>
        </is>
      </c>
      <c r="G6" s="10" t="inlineStr">
        <is>
          <t>102 km claimed</t>
        </is>
      </c>
      <c r="H6" s="16" t="n">
        <v>80</v>
      </c>
      <c r="I6" s="10" t="inlineStr">
        <is>
          <t>n/a</t>
        </is>
      </c>
      <c r="J6" s="10" t="inlineStr">
        <is>
          <t>n/a</t>
        </is>
      </c>
      <c r="K6" s="18" t="inlineStr">
        <is>
          <t>220mm front disc, CBS, 12-inch alloys</t>
        </is>
      </c>
      <c r="L6" s="30" t="n">
        <v>111499</v>
      </c>
      <c r="M6" s="30" t="n">
        <v>109000</v>
      </c>
      <c r="N6" s="18" t="inlineStr">
        <is>
          <t>⚠️ Listing ₹1.09 L on-road is BELOW national ex-showroom – confirm</t>
        </is>
      </c>
    </row>
    <row r="7">
      <c r="A7" s="10" t="inlineStr">
        <is>
          <t>Kinetic</t>
        </is>
      </c>
      <c r="B7" s="18" t="inlineStr">
        <is>
          <t>DX</t>
        </is>
      </c>
      <c r="C7" s="18" t="inlineStr">
        <is>
          <t>DX+ 2.6 kWh</t>
        </is>
      </c>
      <c r="D7" s="23" t="inlineStr">
        <is>
          <t>EV</t>
        </is>
      </c>
      <c r="E7" s="16" t="n">
        <v>90</v>
      </c>
      <c r="F7" s="10" t="inlineStr">
        <is>
          <t>2.6 kWh LFP</t>
        </is>
      </c>
      <c r="G7" s="10" t="inlineStr">
        <is>
          <t>116 km claimed</t>
        </is>
      </c>
      <c r="H7" s="16" t="n">
        <v>90</v>
      </c>
      <c r="I7" s="10" t="inlineStr">
        <is>
          <t>n/a</t>
        </is>
      </c>
      <c r="J7" s="10" t="inlineStr">
        <is>
          <t>n/a</t>
        </is>
      </c>
      <c r="K7" s="18" t="inlineStr">
        <is>
          <t>Higher power (6.4 bhp), more features</t>
        </is>
      </c>
      <c r="L7" s="30" t="n">
        <v>117499</v>
      </c>
      <c r="M7" s="30" t="n">
        <v>124000</v>
      </c>
      <c r="N7" s="18" t="inlineStr">
        <is>
          <t>Listing ₹1.24 L ✅; ex-showroom est. from ₹1.11–1.17 L range</t>
        </is>
      </c>
    </row>
    <row r="8">
      <c r="A8" s="10" t="inlineStr">
        <is>
          <t>Kinetic</t>
        </is>
      </c>
      <c r="B8" s="18" t="inlineStr">
        <is>
          <t>DX</t>
        </is>
      </c>
      <c r="C8" s="18" t="inlineStr">
        <is>
          <t>DX 3.0 kWh / DX+ 3.5 kWh</t>
        </is>
      </c>
      <c r="D8" s="23" t="inlineStr">
        <is>
          <t>EV</t>
        </is>
      </c>
      <c r="E8" s="10" t="inlineStr">
        <is>
          <t>Not confirmed (likely &gt;90)</t>
        </is>
      </c>
      <c r="F8" s="10" t="inlineStr">
        <is>
          <t>3.0 / 3.5 kWh</t>
        </is>
      </c>
      <c r="G8" s="10" t="inlineStr">
        <is>
          <t>Not confirmed</t>
        </is>
      </c>
      <c r="H8" s="10" t="inlineStr">
        <is>
          <t>80/90</t>
        </is>
      </c>
      <c r="I8" s="10" t="inlineStr">
        <is>
          <t>n/a</t>
        </is>
      </c>
      <c r="J8" s="10" t="inlineStr">
        <is>
          <t>n/a</t>
        </is>
      </c>
      <c r="K8" s="18" t="inlineStr">
        <is>
          <t>Bigger battery</t>
        </is>
      </c>
      <c r="L8" s="30" t="n">
        <v>118000</v>
      </c>
      <c r="M8" s="30" t="n"/>
      <c r="N8" s="18" t="inlineStr">
        <is>
          <t>Ex-showroom from ₹1.18 L / ₹1.27 L (Delhi) ✅; weight not confirmed</t>
        </is>
      </c>
    </row>
    <row r="9">
      <c r="A9" s="10" t="inlineStr">
        <is>
          <t>Kinetic Green</t>
        </is>
      </c>
      <c r="B9" s="18" t="inlineStr">
        <is>
          <t>Zulu</t>
        </is>
      </c>
      <c r="C9" s="18" t="inlineStr">
        <is>
          <t>Standard — ONLY ONE VARIANT</t>
        </is>
      </c>
      <c r="D9" s="23" t="inlineStr">
        <is>
          <t>EV</t>
        </is>
      </c>
      <c r="E9" s="16" t="n">
        <v>93</v>
      </c>
      <c r="F9" s="10" t="inlineStr">
        <is>
          <t>2.27 kWh</t>
        </is>
      </c>
      <c r="G9" s="10" t="inlineStr">
        <is>
          <t>104 km claimed</t>
        </is>
      </c>
      <c r="H9" s="16" t="n">
        <v>60</v>
      </c>
      <c r="I9" s="10" t="inlineStr">
        <is>
          <t>n/a</t>
        </is>
      </c>
      <c r="J9" s="10" t="inlineStr">
        <is>
          <t>Front + under-seat</t>
        </is>
      </c>
      <c r="K9" s="18" t="inlineStr">
        <is>
          <t>Front bag hook, 160mm ground clearance</t>
        </is>
      </c>
      <c r="L9" s="30" t="n">
        <v>94990</v>
      </c>
      <c r="M9" s="30" t="n"/>
      <c r="N9" s="18" t="inlineStr">
        <is>
          <t>No Thoothukudi listing – estimate on Price sheet</t>
        </is>
      </c>
    </row>
    <row r="10">
      <c r="A10" s="10" t="inlineStr">
        <is>
          <t>TVS</t>
        </is>
      </c>
      <c r="B10" s="18" t="inlineStr">
        <is>
          <t>Orbiter</t>
        </is>
      </c>
      <c r="C10" s="18" t="inlineStr">
        <is>
          <t>V1 1.8 kWh — only V1 is near your weight</t>
        </is>
      </c>
      <c r="D10" s="23" t="inlineStr">
        <is>
          <t>EV</t>
        </is>
      </c>
      <c r="E10" s="16" t="n">
        <v>101</v>
      </c>
      <c r="F10" s="10" t="inlineStr">
        <is>
          <t>1.8 kWh</t>
        </is>
      </c>
      <c r="G10" s="10" t="inlineStr">
        <is>
          <t>86 km claimed</t>
        </is>
      </c>
      <c r="H10" s="16" t="n">
        <v>68</v>
      </c>
      <c r="I10" s="16" t="n">
        <v>760</v>
      </c>
      <c r="J10" s="10" t="inlineStr">
        <is>
          <t>34 L</t>
        </is>
      </c>
      <c r="K10" s="18" t="inlineStr">
        <is>
          <t>Big boot, 14-inch front wheel †</t>
        </is>
      </c>
      <c r="L10" s="30" t="n">
        <v>88250</v>
      </c>
      <c r="M10" s="30" t="n"/>
      <c r="N10" s="18" t="inlineStr">
        <is>
          <t>Estimate on Price sheet</t>
        </is>
      </c>
    </row>
    <row r="11">
      <c r="A11" s="10" t="inlineStr">
        <is>
          <t>TVS</t>
        </is>
      </c>
      <c r="B11" s="18" t="inlineStr">
        <is>
          <t>Orbiter</t>
        </is>
      </c>
      <c r="C11" s="18" t="inlineStr">
        <is>
          <t>V2 3.1 kWh (112 kg – too heavy)</t>
        </is>
      </c>
      <c r="D11" s="23" t="inlineStr">
        <is>
          <t>EV</t>
        </is>
      </c>
      <c r="E11" s="16" t="n">
        <v>112</v>
      </c>
      <c r="F11" s="10" t="inlineStr">
        <is>
          <t>3.1 kWh</t>
        </is>
      </c>
      <c r="G11" s="10" t="inlineStr">
        <is>
          <t>158 km claimed</t>
        </is>
      </c>
      <c r="H11" s="10" t="inlineStr">
        <is>
          <t>n/a</t>
        </is>
      </c>
      <c r="I11" s="16" t="n">
        <v>760</v>
      </c>
      <c r="J11" s="10" t="inlineStr">
        <is>
          <t>34 L</t>
        </is>
      </c>
      <c r="K11" s="18" t="inlineStr">
        <is>
          <t>More range</t>
        </is>
      </c>
      <c r="L11" s="30" t="n">
        <v>105000</v>
      </c>
      <c r="M11" s="30" t="n"/>
      <c r="N11" s="18" t="inlineStr">
        <is>
          <t>Too heavy – shown for reference</t>
        </is>
      </c>
    </row>
    <row r="12">
      <c r="A12" s="10" t="inlineStr">
        <is>
          <t>TVS</t>
        </is>
      </c>
      <c r="B12" s="18" t="inlineStr">
        <is>
          <t>XL100</t>
        </is>
      </c>
      <c r="C12" s="18" t="inlineStr">
        <is>
          <t>Heavy Duty i-Touchstart</t>
        </is>
      </c>
      <c r="D12" s="29" t="inlineStr">
        <is>
          <t>Petrol</t>
        </is>
      </c>
      <c r="E12" s="16" t="n">
        <v>89</v>
      </c>
      <c r="F12" s="10" t="inlineStr">
        <is>
          <t>99.7 cc</t>
        </is>
      </c>
      <c r="G12" s="10" t="inlineStr">
        <is>
          <t>55–60 kmpl</t>
        </is>
      </c>
      <c r="H12" s="16" t="n">
        <v>60</v>
      </c>
      <c r="I12" s="10" t="inlineStr">
        <is>
          <t>n/a</t>
        </is>
      </c>
      <c r="J12" s="10" t="inlineStr">
        <is>
          <t>Carrier</t>
        </is>
      </c>
      <c r="K12" s="18" t="inlineStr">
        <is>
          <t>Electric start, heavy-duty carrier</t>
        </is>
      </c>
      <c r="L12" s="30" t="n">
        <v>56057</v>
      </c>
      <c r="M12" s="30" t="n">
        <v>70796</v>
      </c>
      <c r="N12" s="18" t="inlineStr">
        <is>
          <t>Thoothukudi listing ✅</t>
        </is>
      </c>
    </row>
    <row r="13">
      <c r="A13" s="10" t="inlineStr">
        <is>
          <t>TVS</t>
        </is>
      </c>
      <c r="B13" s="18" t="inlineStr">
        <is>
          <t>XL100</t>
        </is>
      </c>
      <c r="C13" s="18" t="inlineStr">
        <is>
          <t>Comfort i-Touchstart</t>
        </is>
      </c>
      <c r="D13" s="29" t="inlineStr">
        <is>
          <t>Petrol</t>
        </is>
      </c>
      <c r="E13" s="16" t="n">
        <v>88</v>
      </c>
      <c r="F13" s="10" t="inlineStr">
        <is>
          <t>99.7 cc</t>
        </is>
      </c>
      <c r="G13" s="10" t="inlineStr">
        <is>
          <t>55–60 kmpl</t>
        </is>
      </c>
      <c r="H13" s="16" t="n">
        <v>60</v>
      </c>
      <c r="I13" s="10" t="inlineStr">
        <is>
          <t>n/a</t>
        </is>
      </c>
      <c r="J13" s="10" t="inlineStr">
        <is>
          <t>Carrier</t>
        </is>
      </c>
      <c r="K13" s="18" t="inlineStr">
        <is>
          <t>Electric start, comfort seat</t>
        </is>
      </c>
      <c r="L13" s="30" t="n">
        <v>58514</v>
      </c>
      <c r="M13" s="30" t="n">
        <v>73285</v>
      </c>
      <c r="N13" s="18" t="inlineStr">
        <is>
          <t>Thoothukudi listing ✅</t>
        </is>
      </c>
    </row>
    <row r="14">
      <c r="A14" s="10" t="inlineStr">
        <is>
          <t>TVS</t>
        </is>
      </c>
      <c r="B14" s="18" t="inlineStr">
        <is>
          <t>XL100</t>
        </is>
      </c>
      <c r="C14" s="18" t="inlineStr">
        <is>
          <t>Heavy Duty Alloy</t>
        </is>
      </c>
      <c r="D14" s="29" t="inlineStr">
        <is>
          <t>Petrol</t>
        </is>
      </c>
      <c r="E14" s="16" t="n">
        <v>89</v>
      </c>
      <c r="F14" s="10" t="inlineStr">
        <is>
          <t>99.7 cc</t>
        </is>
      </c>
      <c r="G14" s="10" t="inlineStr">
        <is>
          <t>55–60 kmpl</t>
        </is>
      </c>
      <c r="H14" s="16" t="n">
        <v>60</v>
      </c>
      <c r="I14" s="10" t="inlineStr">
        <is>
          <t>n/a</t>
        </is>
      </c>
      <c r="J14" s="10" t="inlineStr">
        <is>
          <t>Carrier</t>
        </is>
      </c>
      <c r="K14" s="18" t="inlineStr">
        <is>
          <t>Alloy wheels (tubeless †)</t>
        </is>
      </c>
      <c r="L14" s="30" t="n">
        <v>60628</v>
      </c>
      <c r="M14" s="30" t="n">
        <v>74131</v>
      </c>
      <c r="N14" s="18" t="inlineStr">
        <is>
          <t>Thoothukudi listing ✅</t>
        </is>
      </c>
    </row>
    <row r="15">
      <c r="A15" s="10" t="inlineStr">
        <is>
          <t>TVS</t>
        </is>
      </c>
      <c r="B15" s="18" t="inlineStr">
        <is>
          <t>Zest 110</t>
        </is>
      </c>
      <c r="C15" s="18" t="inlineStr">
        <is>
          <t>Gloss</t>
        </is>
      </c>
      <c r="D15" s="29" t="inlineStr">
        <is>
          <t>Petrol</t>
        </is>
      </c>
      <c r="E15" s="16" t="n">
        <v>103</v>
      </c>
      <c r="F15" s="10" t="inlineStr">
        <is>
          <t>109.7 cc</t>
        </is>
      </c>
      <c r="G15" s="10" t="inlineStr">
        <is>
          <t>45 kmpl</t>
        </is>
      </c>
      <c r="H15" s="16" t="n">
        <v>80</v>
      </c>
      <c r="I15" s="16" t="n">
        <v>760</v>
      </c>
      <c r="J15" s="10" t="inlineStr">
        <is>
          <t>19 L †</t>
        </is>
      </c>
      <c r="K15" s="18" t="inlineStr">
        <is>
          <t>Basic, light, low seat</t>
        </is>
      </c>
      <c r="L15" s="30" t="n">
        <v>70600</v>
      </c>
      <c r="M15" s="30" t="n">
        <v>87538</v>
      </c>
      <c r="N15" s="18" t="inlineStr">
        <is>
          <t>Thoothukudi breakdown ✅</t>
        </is>
      </c>
    </row>
    <row r="16">
      <c r="A16" s="10" t="inlineStr">
        <is>
          <t>TVS</t>
        </is>
      </c>
      <c r="B16" s="18" t="inlineStr">
        <is>
          <t>Zest 110</t>
        </is>
      </c>
      <c r="C16" s="18" t="inlineStr">
        <is>
          <t>Matte</t>
        </is>
      </c>
      <c r="D16" s="29" t="inlineStr">
        <is>
          <t>Petrol</t>
        </is>
      </c>
      <c r="E16" s="16" t="n">
        <v>103</v>
      </c>
      <c r="F16" s="10" t="inlineStr">
        <is>
          <t>109.7 cc</t>
        </is>
      </c>
      <c r="G16" s="10" t="inlineStr">
        <is>
          <t>45 kmpl</t>
        </is>
      </c>
      <c r="H16" s="16" t="n">
        <v>80</v>
      </c>
      <c r="I16" s="16" t="n">
        <v>760</v>
      </c>
      <c r="J16" s="10" t="inlineStr">
        <is>
          <t>19 L †</t>
        </is>
      </c>
      <c r="K16" s="18" t="inlineStr">
        <is>
          <t>Matte paint</t>
        </is>
      </c>
      <c r="L16" s="30" t="n">
        <v>73135</v>
      </c>
      <c r="M16" s="30" t="n"/>
      <c r="N16" s="18" t="inlineStr">
        <is>
          <t>Estimate</t>
        </is>
      </c>
    </row>
    <row r="17">
      <c r="A17" s="10" t="inlineStr">
        <is>
          <t>TVS</t>
        </is>
      </c>
      <c r="B17" s="18" t="inlineStr">
        <is>
          <t>Zest 110</t>
        </is>
      </c>
      <c r="C17" s="18" t="inlineStr">
        <is>
          <t>SXC</t>
        </is>
      </c>
      <c r="D17" s="29" t="inlineStr">
        <is>
          <t>Petrol</t>
        </is>
      </c>
      <c r="E17" s="16" t="n">
        <v>103</v>
      </c>
      <c r="F17" s="10" t="inlineStr">
        <is>
          <t>109.7 cc</t>
        </is>
      </c>
      <c r="G17" s="10" t="inlineStr">
        <is>
          <t>45 kmpl</t>
        </is>
      </c>
      <c r="H17" s="16" t="n">
        <v>80</v>
      </c>
      <c r="I17" s="16" t="n">
        <v>760</v>
      </c>
      <c r="J17" s="10" t="inlineStr">
        <is>
          <t>19 L †</t>
        </is>
      </c>
      <c r="K17" s="18" t="inlineStr">
        <is>
          <t>Digital meter, LED features †</t>
        </is>
      </c>
      <c r="L17" s="30" t="n">
        <v>76520</v>
      </c>
      <c r="M17" s="30" t="n">
        <v>93000</v>
      </c>
      <c r="N17" s="18" t="inlineStr">
        <is>
          <t>Thoothukudi ≈ ₹93k listing ✅</t>
        </is>
      </c>
    </row>
    <row r="18">
      <c r="A18" s="10" t="inlineStr">
        <is>
          <t>Yamaha</t>
        </is>
      </c>
      <c r="B18" s="18" t="inlineStr">
        <is>
          <t>Fascino 125 Fi Hybrid</t>
        </is>
      </c>
      <c r="C18" s="18" t="inlineStr">
        <is>
          <t>Drum</t>
        </is>
      </c>
      <c r="D18" s="29" t="inlineStr">
        <is>
          <t>Petrol</t>
        </is>
      </c>
      <c r="E18" s="16" t="n">
        <v>99</v>
      </c>
      <c r="F18" s="10" t="inlineStr">
        <is>
          <t>125 cc hybrid</t>
        </is>
      </c>
      <c r="G18" s="10" t="inlineStr">
        <is>
          <t>~52 kmpl</t>
        </is>
      </c>
      <c r="H18" s="16" t="n">
        <v>90</v>
      </c>
      <c r="I18" s="16" t="n">
        <v>780</v>
      </c>
      <c r="J18" s="10" t="inlineStr">
        <is>
          <t>21 L †</t>
        </is>
      </c>
      <c r="K18" s="18" t="inlineStr">
        <is>
          <t>Hybrid assist, idle-stop †</t>
        </is>
      </c>
      <c r="L18" s="30" t="n">
        <v>81870</v>
      </c>
      <c r="M18" s="30" t="n">
        <v>96344</v>
      </c>
      <c r="N18" s="18" t="inlineStr">
        <is>
          <t>Thoothukudi breakdown ✅ (2 Aug 2026)</t>
        </is>
      </c>
    </row>
    <row r="19">
      <c r="A19" s="10" t="inlineStr">
        <is>
          <t>Yamaha</t>
        </is>
      </c>
      <c r="B19" s="18" t="inlineStr">
        <is>
          <t>Fascino 125 Fi Hybrid</t>
        </is>
      </c>
      <c r="C19" s="18" t="inlineStr">
        <is>
          <t>Disc</t>
        </is>
      </c>
      <c r="D19" s="29" t="inlineStr">
        <is>
          <t>Petrol</t>
        </is>
      </c>
      <c r="E19" s="10" t="inlineStr">
        <is>
          <t>99 †</t>
        </is>
      </c>
      <c r="F19" s="10" t="inlineStr">
        <is>
          <t>125 cc hybrid</t>
        </is>
      </c>
      <c r="G19" s="10" t="inlineStr">
        <is>
          <t>~52 kmpl</t>
        </is>
      </c>
      <c r="H19" s="16" t="n">
        <v>90</v>
      </c>
      <c r="I19" s="16" t="n">
        <v>780</v>
      </c>
      <c r="J19" s="10" t="inlineStr">
        <is>
          <t>21 L †</t>
        </is>
      </c>
      <c r="K19" s="18" t="inlineStr">
        <is>
          <t>Front disc brake</t>
        </is>
      </c>
      <c r="L19" s="30" t="n"/>
      <c r="M19" s="30" t="n">
        <v>107000</v>
      </c>
      <c r="N19" s="18" t="inlineStr">
        <is>
          <t>Thoothukudi listing ≈ ₹1.07 L ✅</t>
        </is>
      </c>
    </row>
    <row r="20">
      <c r="A20" s="10" t="inlineStr">
        <is>
          <t>Yamaha</t>
        </is>
      </c>
      <c r="B20" s="18" t="inlineStr">
        <is>
          <t>Fascino 125 Fi Hybrid</t>
        </is>
      </c>
      <c r="C20" s="18" t="inlineStr">
        <is>
          <t>S</t>
        </is>
      </c>
      <c r="D20" s="29" t="inlineStr">
        <is>
          <t>Petrol</t>
        </is>
      </c>
      <c r="E20" s="10" t="inlineStr">
        <is>
          <t>99 †</t>
        </is>
      </c>
      <c r="F20" s="10" t="inlineStr">
        <is>
          <t>125 cc hybrid</t>
        </is>
      </c>
      <c r="G20" s="10" t="inlineStr">
        <is>
          <t>~52 kmpl</t>
        </is>
      </c>
      <c r="H20" s="16" t="n">
        <v>90</v>
      </c>
      <c r="I20" s="16" t="n">
        <v>780</v>
      </c>
      <c r="J20" s="10" t="inlineStr">
        <is>
          <t>21 L †</t>
        </is>
      </c>
      <c r="K20" s="18" t="inlineStr">
        <is>
          <t>Y-Connect Bluetooth †, answer-back</t>
        </is>
      </c>
      <c r="L20" s="30" t="n"/>
      <c r="M20" s="30" t="n">
        <v>115687</v>
      </c>
      <c r="N20" s="18" t="inlineStr">
        <is>
          <t>Thoothukudi listing ✅</t>
        </is>
      </c>
    </row>
    <row r="21">
      <c r="A21" s="10" t="inlineStr">
        <is>
          <t>Yamaha</t>
        </is>
      </c>
      <c r="B21" s="18" t="inlineStr">
        <is>
          <t>RayZR 125 Fi Hybrid</t>
        </is>
      </c>
      <c r="C21" s="18" t="inlineStr">
        <is>
          <t>Drum</t>
        </is>
      </c>
      <c r="D21" s="29" t="inlineStr">
        <is>
          <t>Petrol</t>
        </is>
      </c>
      <c r="E21" s="16" t="n">
        <v>99</v>
      </c>
      <c r="F21" s="10" t="inlineStr">
        <is>
          <t>125 cc hybrid</t>
        </is>
      </c>
      <c r="G21" s="10" t="inlineStr">
        <is>
          <t>~50 kmpl</t>
        </is>
      </c>
      <c r="H21" s="16" t="n">
        <v>90</v>
      </c>
      <c r="I21" s="10" t="inlineStr">
        <is>
          <t>785 †</t>
        </is>
      </c>
      <c r="J21" s="10" t="inlineStr">
        <is>
          <t>21 L †</t>
        </is>
      </c>
      <c r="K21" s="18" t="inlineStr">
        <is>
          <t>Sporty styling</t>
        </is>
      </c>
      <c r="L21" s="30" t="n"/>
      <c r="M21" s="30" t="n">
        <v>93149</v>
      </c>
      <c r="N21" s="18" t="inlineStr">
        <is>
          <t>Chennai listing (same TN taxes) – proxy</t>
        </is>
      </c>
    </row>
    <row r="22">
      <c r="A22" s="10" t="inlineStr">
        <is>
          <t>Yamaha</t>
        </is>
      </c>
      <c r="B22" s="18" t="inlineStr">
        <is>
          <t>RayZR 125 Fi Hybrid</t>
        </is>
      </c>
      <c r="C22" s="18" t="inlineStr">
        <is>
          <t>Disc / DLX Disc</t>
        </is>
      </c>
      <c r="D22" s="29" t="inlineStr">
        <is>
          <t>Petrol</t>
        </is>
      </c>
      <c r="E22" s="10" t="inlineStr">
        <is>
          <t>99 †</t>
        </is>
      </c>
      <c r="F22" s="10" t="inlineStr">
        <is>
          <t>125 cc hybrid</t>
        </is>
      </c>
      <c r="G22" s="10" t="inlineStr">
        <is>
          <t>~50 kmpl</t>
        </is>
      </c>
      <c r="H22" s="16" t="n">
        <v>90</v>
      </c>
      <c r="I22" s="10" t="inlineStr">
        <is>
          <t>785 †</t>
        </is>
      </c>
      <c r="J22" s="10" t="inlineStr">
        <is>
          <t>21 L †</t>
        </is>
      </c>
      <c r="K22" s="18" t="inlineStr">
        <is>
          <t>Front disc</t>
        </is>
      </c>
      <c r="L22" s="30" t="n">
        <v>79958</v>
      </c>
      <c r="M22" s="30" t="n"/>
      <c r="N22" s="18" t="inlineStr">
        <is>
          <t>Estimate</t>
        </is>
      </c>
    </row>
    <row r="23">
      <c r="A23" s="10" t="inlineStr">
        <is>
          <t>Yamaha</t>
        </is>
      </c>
      <c r="B23" s="18" t="inlineStr">
        <is>
          <t>RayZR 125 Fi Hybrid</t>
        </is>
      </c>
      <c r="C23" s="18" t="inlineStr">
        <is>
          <t>Street Rally</t>
        </is>
      </c>
      <c r="D23" s="29" t="inlineStr">
        <is>
          <t>Petrol</t>
        </is>
      </c>
      <c r="E23" s="10" t="inlineStr">
        <is>
          <t>99 †</t>
        </is>
      </c>
      <c r="F23" s="10" t="inlineStr">
        <is>
          <t>125 cc hybrid</t>
        </is>
      </c>
      <c r="G23" s="10" t="inlineStr">
        <is>
          <t>~50 kmpl</t>
        </is>
      </c>
      <c r="H23" s="16" t="n">
        <v>90</v>
      </c>
      <c r="I23" s="10" t="inlineStr">
        <is>
          <t>785 †</t>
        </is>
      </c>
      <c r="J23" s="10" t="inlineStr">
        <is>
          <t>21 L †</t>
        </is>
      </c>
      <c r="K23" s="18" t="inlineStr">
        <is>
          <t>Knobby-look tyres, styling</t>
        </is>
      </c>
      <c r="L23" s="30" t="n">
        <v>85974</v>
      </c>
      <c r="M23" s="30" t="n">
        <v>107670</v>
      </c>
      <c r="N23" s="18" t="inlineStr">
        <is>
          <t>Chennai listing – proxy</t>
        </is>
      </c>
    </row>
    <row r="24">
      <c r="A24" s="10" t="inlineStr">
        <is>
          <t>Ampere</t>
        </is>
      </c>
      <c r="B24" s="18" t="inlineStr">
        <is>
          <t>Magnus Neo</t>
        </is>
      </c>
      <c r="C24" s="18" t="inlineStr">
        <is>
          <t>Standard — ONLY ONE VARIANT</t>
        </is>
      </c>
      <c r="D24" s="23" t="inlineStr">
        <is>
          <t>EV</t>
        </is>
      </c>
      <c r="E24" s="16" t="n">
        <v>103</v>
      </c>
      <c r="F24" s="10" t="inlineStr">
        <is>
          <t>2.3 kWh LFP</t>
        </is>
      </c>
      <c r="G24" s="10" t="inlineStr">
        <is>
          <t>~118 km IDC</t>
        </is>
      </c>
      <c r="H24" s="16" t="n">
        <v>65</v>
      </c>
      <c r="I24" s="10" t="inlineStr">
        <is>
          <t>n/a</t>
        </is>
      </c>
      <c r="J24" s="10" t="inlineStr">
        <is>
          <t>n/a</t>
        </is>
      </c>
      <c r="K24" s="18" t="inlineStr">
        <is>
          <t>LFP battery, updated 2026</t>
        </is>
      </c>
      <c r="L24" s="30" t="n">
        <v>86999</v>
      </c>
      <c r="M24" s="30" t="n"/>
      <c r="N24" s="18" t="inlineStr">
        <is>
          <t>Estimate on Price sheet</t>
        </is>
      </c>
    </row>
    <row r="25"/>
    <row r="26">
      <c r="A26" s="9" t="inlineStr">
        <is>
          <t>Manufacturers with fewer than 3 suitable variants: Honda QC1 (1), Kinetic Green Zulu (1), Ampere Magnus Neo (1), TVS Orbiter (only V1 is light enough). Kinetic DX bigger-battery variants: weight not published.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3" customWidth="1" min="3" max="3"/>
    <col width="13" customWidth="1" min="4" max="4"/>
    <col width="15" customWidth="1" min="5" max="5"/>
    <col width="15" customWidth="1" min="6" max="6"/>
    <col width="15" customWidth="1" min="7" max="7"/>
    <col width="12" customWidth="1" min="8" max="8"/>
    <col width="16" customWidth="1" min="9" max="9"/>
    <col width="26" customWidth="1" min="10" max="10"/>
    <col width="50" customWidth="1" min="11" max="11"/>
  </cols>
  <sheetData>
    <row r="1">
      <c r="A1" s="1" t="inlineStr">
        <is>
          <t>HOW MUCH MONEY DO I NEED?  (variant used for costing; A+B+C+D = On-road; + E = Total)</t>
        </is>
      </c>
    </row>
    <row r="2" ht="42" customHeight="1">
      <c r="A2" s="2" t="inlineStr">
        <is>
          <t>Scooter (variant)</t>
        </is>
      </c>
      <c r="B2" s="2" t="inlineStr">
        <is>
          <t>Type</t>
        </is>
      </c>
      <c r="C2" s="2" t="inlineStr">
        <is>
          <t>A. Ex-showroom (₹)</t>
        </is>
      </c>
      <c r="D2" s="2" t="inlineStr">
        <is>
          <t>B. RTO / registration (₹)</t>
        </is>
      </c>
      <c r="E2" s="2" t="inlineStr">
        <is>
          <t>C. Insurance yr-1 OD + 5-yr TP (₹)</t>
        </is>
      </c>
      <c r="F2" s="2" t="inlineStr">
        <is>
          <t>D. Other mandatory (HSRP, smart card, handling) (₹)</t>
        </is>
      </c>
      <c r="G2" s="2" t="inlineStr">
        <is>
          <t>F. ON-ROAD = A+B+C+D (₹)</t>
        </is>
      </c>
      <c r="H2" s="2" t="inlineStr">
        <is>
          <t>E. Basic accessories (₹)</t>
        </is>
      </c>
      <c r="I2" s="2" t="inlineStr">
        <is>
          <t>TOTAL MONEY NEEDED = F+E (₹)</t>
        </is>
      </c>
      <c r="J2" s="2" t="inlineStr">
        <is>
          <t>Status</t>
        </is>
      </c>
      <c r="K2" s="2" t="inlineStr">
        <is>
          <t>Note</t>
        </is>
      </c>
    </row>
    <row r="3">
      <c r="A3" s="22" t="inlineStr">
        <is>
          <t>Honda QC1 (Standard)</t>
        </is>
      </c>
      <c r="B3" s="10" t="inlineStr">
        <is>
          <t>EV</t>
        </is>
      </c>
      <c r="C3" s="13" t="n">
        <v>90490</v>
      </c>
      <c r="D3" s="13" t="n">
        <v>1000</v>
      </c>
      <c r="E3" s="13" t="n">
        <v>5784</v>
      </c>
      <c r="F3" s="13" t="n">
        <v>0</v>
      </c>
      <c r="G3" s="6">
        <f>SUM(C3:F3)</f>
        <v/>
      </c>
      <c r="H3" s="13" t="n">
        <v>1500</v>
      </c>
      <c r="I3" s="7">
        <f>G3+H3</f>
        <v/>
      </c>
      <c r="J3" s="31" t="inlineStr">
        <is>
          <t>Ex-showroom ✅ &amp; on-road ₹97,274 ✅ (Thoothukudi); B/C split estimated</t>
        </is>
      </c>
      <c r="K3" s="12" t="inlineStr">
        <is>
          <t>Road tax ₹0 for EVs in TN till 31 Dec 2027</t>
        </is>
      </c>
    </row>
    <row r="4">
      <c r="A4" s="22" t="inlineStr">
        <is>
          <t>Kinetic DX (2.6 kWh)</t>
        </is>
      </c>
      <c r="B4" s="10" t="inlineStr">
        <is>
          <t>EV</t>
        </is>
      </c>
      <c r="C4" s="13" t="n">
        <v>111499</v>
      </c>
      <c r="D4" s="13" t="n">
        <v>1000</v>
      </c>
      <c r="E4" s="13" t="n">
        <v>6500</v>
      </c>
      <c r="F4" s="13" t="n">
        <v>0</v>
      </c>
      <c r="G4" s="6">
        <f>SUM(C4:F4)</f>
        <v/>
      </c>
      <c r="H4" s="13" t="n">
        <v>1500</v>
      </c>
      <c r="I4" s="7">
        <f>G4+H4</f>
        <v/>
      </c>
      <c r="J4" s="32" t="inlineStr">
        <is>
          <t>ESTIMATE (national ex-showroom); one listing shows ₹1.09 L on-road ⚠️</t>
        </is>
      </c>
      <c r="K4" s="12" t="inlineStr">
        <is>
          <t>Road tax ₹0; insurance est.</t>
        </is>
      </c>
    </row>
    <row r="5">
      <c r="A5" s="22" t="inlineStr">
        <is>
          <t>Kinetic Green Zulu</t>
        </is>
      </c>
      <c r="B5" s="10" t="inlineStr">
        <is>
          <t>EV</t>
        </is>
      </c>
      <c r="C5" s="13" t="n">
        <v>94990</v>
      </c>
      <c r="D5" s="13" t="n">
        <v>1000</v>
      </c>
      <c r="E5" s="13" t="n">
        <v>5800</v>
      </c>
      <c r="F5" s="13" t="n">
        <v>0</v>
      </c>
      <c r="G5" s="6">
        <f>SUM(C5:F5)</f>
        <v/>
      </c>
      <c r="H5" s="13" t="n">
        <v>1500</v>
      </c>
      <c r="I5" s="7">
        <f>G5+H5</f>
        <v/>
      </c>
      <c r="J5" s="32" t="inlineStr">
        <is>
          <t>ESTIMATE</t>
        </is>
      </c>
      <c r="K5" s="12" t="inlineStr">
        <is>
          <t>Road tax ₹0</t>
        </is>
      </c>
    </row>
    <row r="6">
      <c r="A6" s="22" t="inlineStr">
        <is>
          <t>TVS Orbiter V1</t>
        </is>
      </c>
      <c r="B6" s="10" t="inlineStr">
        <is>
          <t>EV</t>
        </is>
      </c>
      <c r="C6" s="13" t="n">
        <v>88250</v>
      </c>
      <c r="D6" s="13" t="n">
        <v>1000</v>
      </c>
      <c r="E6" s="13" t="n">
        <v>5750</v>
      </c>
      <c r="F6" s="13" t="n">
        <v>2000</v>
      </c>
      <c r="G6" s="6">
        <f>SUM(C6:F6)</f>
        <v/>
      </c>
      <c r="H6" s="13" t="n">
        <v>1500</v>
      </c>
      <c r="I6" s="7">
        <f>G6+H6</f>
        <v/>
      </c>
      <c r="J6" s="32" t="inlineStr">
        <is>
          <t>ESTIMATE (similar cities ₹98,369)</t>
        </is>
      </c>
      <c r="K6" s="12" t="inlineStr">
        <is>
          <t>Road tax ₹0</t>
        </is>
      </c>
    </row>
    <row r="7">
      <c r="A7" s="22" t="inlineStr">
        <is>
          <t>Ampere Magnus Neo</t>
        </is>
      </c>
      <c r="B7" s="10" t="inlineStr">
        <is>
          <t>EV</t>
        </is>
      </c>
      <c r="C7" s="13" t="n">
        <v>86999</v>
      </c>
      <c r="D7" s="13" t="n">
        <v>1000</v>
      </c>
      <c r="E7" s="13" t="n">
        <v>5700</v>
      </c>
      <c r="F7" s="13" t="n">
        <v>0</v>
      </c>
      <c r="G7" s="6">
        <f>SUM(C7:F7)</f>
        <v/>
      </c>
      <c r="H7" s="13" t="n">
        <v>1500</v>
      </c>
      <c r="I7" s="7">
        <f>G7+H7</f>
        <v/>
      </c>
      <c r="J7" s="32" t="inlineStr">
        <is>
          <t>ESTIMATE</t>
        </is>
      </c>
      <c r="K7" s="12" t="inlineStr">
        <is>
          <t>Road tax ₹0</t>
        </is>
      </c>
    </row>
    <row r="8">
      <c r="A8" s="28" t="inlineStr">
        <is>
          <t>Yamaha Fascino 125 (Drum)</t>
        </is>
      </c>
      <c r="B8" s="10" t="inlineStr">
        <is>
          <t>Petrol</t>
        </is>
      </c>
      <c r="C8" s="13" t="n">
        <v>81870</v>
      </c>
      <c r="D8" s="13" t="n">
        <v>8187</v>
      </c>
      <c r="E8" s="13" t="n">
        <v>6287</v>
      </c>
      <c r="F8" s="13" t="n">
        <v>0</v>
      </c>
      <c r="G8" s="6">
        <f>SUM(C8:F8)</f>
        <v/>
      </c>
      <c r="H8" s="13" t="n">
        <v>1500</v>
      </c>
      <c r="I8" s="7">
        <f>G8+H8</f>
        <v/>
      </c>
      <c r="J8" s="31" t="inlineStr">
        <is>
          <t>Thoothukudi breakdown ✅ (ZigWheels, 2 Aug 2026)</t>
        </is>
      </c>
      <c r="K8" s="12" t="inlineStr">
        <is>
          <t>TN road tax ~10% included in B</t>
        </is>
      </c>
    </row>
    <row r="9">
      <c r="A9" s="28" t="inlineStr">
        <is>
          <t>Yamaha RayZR 125 (Drum)</t>
        </is>
      </c>
      <c r="B9" s="10" t="inlineStr">
        <is>
          <t>Petrol</t>
        </is>
      </c>
      <c r="C9" s="13" t="n">
        <v>79880</v>
      </c>
      <c r="D9" s="13" t="n">
        <v>8000</v>
      </c>
      <c r="E9" s="13" t="n">
        <v>5269</v>
      </c>
      <c r="F9" s="13" t="n">
        <v>0</v>
      </c>
      <c r="G9" s="6">
        <f>SUM(C9:F9)</f>
        <v/>
      </c>
      <c r="H9" s="13" t="n">
        <v>1500</v>
      </c>
      <c r="I9" s="7">
        <f>G9+H9</f>
        <v/>
      </c>
      <c r="J9" s="32" t="inlineStr">
        <is>
          <t>ESTIMATE – Chennai on-road ₹93,149 ✅ used as total</t>
        </is>
      </c>
      <c r="K9" s="12" t="inlineStr">
        <is>
          <t>Same TN taxes as Thoothukudi</t>
        </is>
      </c>
    </row>
    <row r="10">
      <c r="A10" s="28" t="inlineStr">
        <is>
          <t>TVS XL100 (HD i-Touchstart)</t>
        </is>
      </c>
      <c r="B10" s="10" t="inlineStr">
        <is>
          <t>Petrol</t>
        </is>
      </c>
      <c r="C10" s="13" t="n">
        <v>56057</v>
      </c>
      <c r="D10" s="13" t="n">
        <v>7500</v>
      </c>
      <c r="E10" s="13" t="n">
        <v>7239</v>
      </c>
      <c r="F10" s="13" t="n">
        <v>0</v>
      </c>
      <c r="G10" s="6">
        <f>SUM(C10:F10)</f>
        <v/>
      </c>
      <c r="H10" s="13" t="n">
        <v>1500</v>
      </c>
      <c r="I10" s="7">
        <f>G10+H10</f>
        <v/>
      </c>
      <c r="J10" s="31" t="inlineStr">
        <is>
          <t>On-road ₹70,796 ✅ (Thoothukudi); B/C split estimated</t>
        </is>
      </c>
      <c r="K10" s="12" t="inlineStr"/>
    </row>
    <row r="11">
      <c r="A11" s="28" t="inlineStr">
        <is>
          <t>TVS Zest 110 (Gloss)</t>
        </is>
      </c>
      <c r="B11" s="10" t="inlineStr">
        <is>
          <t>Petrol</t>
        </is>
      </c>
      <c r="C11" s="13" t="n">
        <v>70600</v>
      </c>
      <c r="D11" s="13" t="n">
        <v>9635</v>
      </c>
      <c r="E11" s="13" t="n">
        <v>7303</v>
      </c>
      <c r="F11" s="13" t="n">
        <v>0</v>
      </c>
      <c r="G11" s="6">
        <f>SUM(C11:F11)</f>
        <v/>
      </c>
      <c r="H11" s="13" t="n">
        <v>1500</v>
      </c>
      <c r="I11" s="7">
        <f>G11+H11</f>
        <v/>
      </c>
      <c r="J11" s="31" t="inlineStr">
        <is>
          <t>Thoothukudi breakdown ✅</t>
        </is>
      </c>
      <c r="K11" s="12" t="inlineStr"/>
    </row>
    <row r="12">
      <c r="A12" s="28" t="inlineStr">
        <is>
          <t>Honda Dio 110 (STD)</t>
        </is>
      </c>
      <c r="B12" s="10" t="inlineStr">
        <is>
          <t>Petrol</t>
        </is>
      </c>
      <c r="C12" s="13" t="n">
        <v>72500</v>
      </c>
      <c r="D12" s="13" t="n">
        <v>8000</v>
      </c>
      <c r="E12" s="13" t="n">
        <v>4973</v>
      </c>
      <c r="F12" s="13" t="n">
        <v>0</v>
      </c>
      <c r="G12" s="6">
        <f>SUM(C12:F12)</f>
        <v/>
      </c>
      <c r="H12" s="13" t="n">
        <v>1500</v>
      </c>
      <c r="I12" s="7">
        <f>G12+H12</f>
        <v/>
      </c>
      <c r="J12" s="31" t="inlineStr">
        <is>
          <t>On-road ₹85,473 ✅ (Thoothukudi listing); A/B/C split estimated</t>
        </is>
      </c>
      <c r="K12" s="12" t="inlineStr"/>
    </row>
    <row r="13"/>
    <row r="14">
      <c r="A14" s="9" t="inlineStr">
        <is>
          <t>E. Accessories = ₹1,500 allowance for basic items (side/saree guard if not fitted, floor mat). A BIS helmet must be supplied by the manufacturer at purchase under Central Motor Vehicles Rules 138(4)(f) † – ask for it free.</t>
        </is>
      </c>
    </row>
    <row r="15">
      <c r="A15" s="9" t="inlineStr">
        <is>
          <t>Refuse 'handling charges' – they are not a legal/mandatory charge. Ask for an itemised quote: ex-showroom, registration, insurance, accessories.</t>
        </is>
      </c>
    </row>
    <row r="16">
      <c r="A16" s="9" t="inlineStr">
        <is>
          <t>Central PM E-DRIVE EV subsidy ENDED 31 Jul 2026 – EV prices above include no central subsidy. TN EV road tax = 0% (till 31 Dec 2027).</t>
        </is>
      </c>
    </row>
  </sheetData>
  <conditionalFormatting sqref="I3:I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FUEL / ELECTRICITY COST.  EV: km × Wh/km ÷ 1000 × ₹/unit.   Petrol: km ÷ kmpl × ₹/litre</t>
        </is>
      </c>
    </row>
    <row r="2" ht="42" customHeight="1">
      <c r="A2" s="2" t="inlineStr">
        <is>
          <t>Scooter</t>
        </is>
      </c>
      <c r="B2" s="2" t="inlineStr">
        <is>
          <t>Type</t>
        </is>
      </c>
      <c r="C2" s="2" t="inlineStr">
        <is>
          <t>Cost per km (₹)</t>
        </is>
      </c>
      <c r="D2" s="2" t="inlineStr">
        <is>
          <t>LOW Daily</t>
        </is>
      </c>
      <c r="E2" s="2" t="inlineStr">
        <is>
          <t>LOW Monthly</t>
        </is>
      </c>
      <c r="F2" s="2" t="inlineStr">
        <is>
          <t>LOW Annual</t>
        </is>
      </c>
      <c r="G2" s="2" t="inlineStr">
        <is>
          <t>LOW 5-year</t>
        </is>
      </c>
      <c r="H2" s="2" t="inlineStr">
        <is>
          <t>LOW 10-year</t>
        </is>
      </c>
      <c r="I2" s="2" t="inlineStr">
        <is>
          <t>MEDIUM Daily</t>
        </is>
      </c>
      <c r="J2" s="2" t="inlineStr">
        <is>
          <t>MEDIUM Monthly</t>
        </is>
      </c>
      <c r="K2" s="2" t="inlineStr">
        <is>
          <t>MEDIUM Annual</t>
        </is>
      </c>
      <c r="L2" s="2" t="inlineStr">
        <is>
          <t>MEDIUM 5-year</t>
        </is>
      </c>
      <c r="M2" s="2" t="inlineStr">
        <is>
          <t>MEDIUM 10-year</t>
        </is>
      </c>
      <c r="N2" s="2" t="inlineStr">
        <is>
          <t>HIGH Daily</t>
        </is>
      </c>
      <c r="O2" s="2" t="inlineStr">
        <is>
          <t>HIGH Monthly</t>
        </is>
      </c>
      <c r="P2" s="2" t="inlineStr">
        <is>
          <t>HIGH Annual</t>
        </is>
      </c>
      <c r="Q2" s="2" t="inlineStr">
        <is>
          <t>HIGH 5-year</t>
        </is>
      </c>
      <c r="R2" s="2" t="inlineStr">
        <is>
          <t>HIGH 10-year</t>
        </is>
      </c>
    </row>
    <row r="3">
      <c r="A3" s="3">
        <f>Shortlist!B2</f>
        <v/>
      </c>
      <c r="B3" s="4">
        <f>Shortlist!D2</f>
        <v/>
      </c>
      <c r="C3" s="8">
        <f>IF(B3="EV",Shortlist!S2/1000*Inputs!$B$5,Inputs!$B$4/Shortlist!I2)</f>
        <v/>
      </c>
      <c r="D3" s="33">
        <f>$C3*Inputs!$B$6</f>
        <v/>
      </c>
      <c r="E3" s="34">
        <f>D3*Inputs!$B$10</f>
        <v/>
      </c>
      <c r="F3" s="34">
        <f>D3*Inputs!$B$9</f>
        <v/>
      </c>
      <c r="G3" s="34">
        <f>F3*5</f>
        <v/>
      </c>
      <c r="H3" s="6">
        <f>F3*10</f>
        <v/>
      </c>
      <c r="I3" s="33">
        <f>$C3*Inputs!$B$7</f>
        <v/>
      </c>
      <c r="J3" s="34">
        <f>I3*Inputs!$B$10</f>
        <v/>
      </c>
      <c r="K3" s="34">
        <f>I3*Inputs!$B$9</f>
        <v/>
      </c>
      <c r="L3" s="34">
        <f>K3*5</f>
        <v/>
      </c>
      <c r="M3" s="6">
        <f>K3*10</f>
        <v/>
      </c>
      <c r="N3" s="33">
        <f>$C3*Inputs!$B$8</f>
        <v/>
      </c>
      <c r="O3" s="34">
        <f>N3*Inputs!$B$10</f>
        <v/>
      </c>
      <c r="P3" s="34">
        <f>N3*Inputs!$B$9</f>
        <v/>
      </c>
      <c r="Q3" s="34">
        <f>P3*5</f>
        <v/>
      </c>
      <c r="R3" s="6">
        <f>P3*10</f>
        <v/>
      </c>
    </row>
    <row r="4">
      <c r="A4" s="3">
        <f>Shortlist!B3</f>
        <v/>
      </c>
      <c r="B4" s="4">
        <f>Shortlist!D3</f>
        <v/>
      </c>
      <c r="C4" s="8">
        <f>IF(B4="EV",Shortlist!S3/1000*Inputs!$B$5,Inputs!$B$4/Shortlist!I3)</f>
        <v/>
      </c>
      <c r="D4" s="33">
        <f>$C4*Inputs!$B$6</f>
        <v/>
      </c>
      <c r="E4" s="34">
        <f>D4*Inputs!$B$10</f>
        <v/>
      </c>
      <c r="F4" s="34">
        <f>D4*Inputs!$B$9</f>
        <v/>
      </c>
      <c r="G4" s="34">
        <f>F4*5</f>
        <v/>
      </c>
      <c r="H4" s="6">
        <f>F4*10</f>
        <v/>
      </c>
      <c r="I4" s="33">
        <f>$C4*Inputs!$B$7</f>
        <v/>
      </c>
      <c r="J4" s="34">
        <f>I4*Inputs!$B$10</f>
        <v/>
      </c>
      <c r="K4" s="34">
        <f>I4*Inputs!$B$9</f>
        <v/>
      </c>
      <c r="L4" s="34">
        <f>K4*5</f>
        <v/>
      </c>
      <c r="M4" s="6">
        <f>K4*10</f>
        <v/>
      </c>
      <c r="N4" s="33">
        <f>$C4*Inputs!$B$8</f>
        <v/>
      </c>
      <c r="O4" s="34">
        <f>N4*Inputs!$B$10</f>
        <v/>
      </c>
      <c r="P4" s="34">
        <f>N4*Inputs!$B$9</f>
        <v/>
      </c>
      <c r="Q4" s="34">
        <f>P4*5</f>
        <v/>
      </c>
      <c r="R4" s="6">
        <f>P4*10</f>
        <v/>
      </c>
    </row>
    <row r="5">
      <c r="A5" s="3">
        <f>Shortlist!B4</f>
        <v/>
      </c>
      <c r="B5" s="4">
        <f>Shortlist!D4</f>
        <v/>
      </c>
      <c r="C5" s="8">
        <f>IF(B5="EV",Shortlist!S4/1000*Inputs!$B$5,Inputs!$B$4/Shortlist!I4)</f>
        <v/>
      </c>
      <c r="D5" s="33">
        <f>$C5*Inputs!$B$6</f>
        <v/>
      </c>
      <c r="E5" s="34">
        <f>D5*Inputs!$B$10</f>
        <v/>
      </c>
      <c r="F5" s="34">
        <f>D5*Inputs!$B$9</f>
        <v/>
      </c>
      <c r="G5" s="34">
        <f>F5*5</f>
        <v/>
      </c>
      <c r="H5" s="6">
        <f>F5*10</f>
        <v/>
      </c>
      <c r="I5" s="33">
        <f>$C5*Inputs!$B$7</f>
        <v/>
      </c>
      <c r="J5" s="34">
        <f>I5*Inputs!$B$10</f>
        <v/>
      </c>
      <c r="K5" s="34">
        <f>I5*Inputs!$B$9</f>
        <v/>
      </c>
      <c r="L5" s="34">
        <f>K5*5</f>
        <v/>
      </c>
      <c r="M5" s="6">
        <f>K5*10</f>
        <v/>
      </c>
      <c r="N5" s="33">
        <f>$C5*Inputs!$B$8</f>
        <v/>
      </c>
      <c r="O5" s="34">
        <f>N5*Inputs!$B$10</f>
        <v/>
      </c>
      <c r="P5" s="34">
        <f>N5*Inputs!$B$9</f>
        <v/>
      </c>
      <c r="Q5" s="34">
        <f>P5*5</f>
        <v/>
      </c>
      <c r="R5" s="6">
        <f>P5*10</f>
        <v/>
      </c>
    </row>
    <row r="6">
      <c r="A6" s="3">
        <f>Shortlist!B5</f>
        <v/>
      </c>
      <c r="B6" s="4">
        <f>Shortlist!D5</f>
        <v/>
      </c>
      <c r="C6" s="8">
        <f>IF(B6="EV",Shortlist!S5/1000*Inputs!$B$5,Inputs!$B$4/Shortlist!I5)</f>
        <v/>
      </c>
      <c r="D6" s="33">
        <f>$C6*Inputs!$B$6</f>
        <v/>
      </c>
      <c r="E6" s="34">
        <f>D6*Inputs!$B$10</f>
        <v/>
      </c>
      <c r="F6" s="34">
        <f>D6*Inputs!$B$9</f>
        <v/>
      </c>
      <c r="G6" s="34">
        <f>F6*5</f>
        <v/>
      </c>
      <c r="H6" s="6">
        <f>F6*10</f>
        <v/>
      </c>
      <c r="I6" s="33">
        <f>$C6*Inputs!$B$7</f>
        <v/>
      </c>
      <c r="J6" s="34">
        <f>I6*Inputs!$B$10</f>
        <v/>
      </c>
      <c r="K6" s="34">
        <f>I6*Inputs!$B$9</f>
        <v/>
      </c>
      <c r="L6" s="34">
        <f>K6*5</f>
        <v/>
      </c>
      <c r="M6" s="6">
        <f>K6*10</f>
        <v/>
      </c>
      <c r="N6" s="33">
        <f>$C6*Inputs!$B$8</f>
        <v/>
      </c>
      <c r="O6" s="34">
        <f>N6*Inputs!$B$10</f>
        <v/>
      </c>
      <c r="P6" s="34">
        <f>N6*Inputs!$B$9</f>
        <v/>
      </c>
      <c r="Q6" s="34">
        <f>P6*5</f>
        <v/>
      </c>
      <c r="R6" s="6">
        <f>P6*10</f>
        <v/>
      </c>
    </row>
    <row r="7">
      <c r="A7" s="3">
        <f>Shortlist!B6</f>
        <v/>
      </c>
      <c r="B7" s="4">
        <f>Shortlist!D6</f>
        <v/>
      </c>
      <c r="C7" s="8">
        <f>IF(B7="EV",Shortlist!S6/1000*Inputs!$B$5,Inputs!$B$4/Shortlist!I6)</f>
        <v/>
      </c>
      <c r="D7" s="33">
        <f>$C7*Inputs!$B$6</f>
        <v/>
      </c>
      <c r="E7" s="34">
        <f>D7*Inputs!$B$10</f>
        <v/>
      </c>
      <c r="F7" s="34">
        <f>D7*Inputs!$B$9</f>
        <v/>
      </c>
      <c r="G7" s="34">
        <f>F7*5</f>
        <v/>
      </c>
      <c r="H7" s="6">
        <f>F7*10</f>
        <v/>
      </c>
      <c r="I7" s="33">
        <f>$C7*Inputs!$B$7</f>
        <v/>
      </c>
      <c r="J7" s="34">
        <f>I7*Inputs!$B$10</f>
        <v/>
      </c>
      <c r="K7" s="34">
        <f>I7*Inputs!$B$9</f>
        <v/>
      </c>
      <c r="L7" s="34">
        <f>K7*5</f>
        <v/>
      </c>
      <c r="M7" s="6">
        <f>K7*10</f>
        <v/>
      </c>
      <c r="N7" s="33">
        <f>$C7*Inputs!$B$8</f>
        <v/>
      </c>
      <c r="O7" s="34">
        <f>N7*Inputs!$B$10</f>
        <v/>
      </c>
      <c r="P7" s="34">
        <f>N7*Inputs!$B$9</f>
        <v/>
      </c>
      <c r="Q7" s="34">
        <f>P7*5</f>
        <v/>
      </c>
      <c r="R7" s="6">
        <f>P7*10</f>
        <v/>
      </c>
    </row>
    <row r="8">
      <c r="A8" s="3">
        <f>Shortlist!B7</f>
        <v/>
      </c>
      <c r="B8" s="4">
        <f>Shortlist!D7</f>
        <v/>
      </c>
      <c r="C8" s="8">
        <f>IF(B8="EV",Shortlist!S7/1000*Inputs!$B$5,Inputs!$B$4/Shortlist!I7)</f>
        <v/>
      </c>
      <c r="D8" s="33">
        <f>$C8*Inputs!$B$6</f>
        <v/>
      </c>
      <c r="E8" s="34">
        <f>D8*Inputs!$B$10</f>
        <v/>
      </c>
      <c r="F8" s="34">
        <f>D8*Inputs!$B$9</f>
        <v/>
      </c>
      <c r="G8" s="34">
        <f>F8*5</f>
        <v/>
      </c>
      <c r="H8" s="6">
        <f>F8*10</f>
        <v/>
      </c>
      <c r="I8" s="33">
        <f>$C8*Inputs!$B$7</f>
        <v/>
      </c>
      <c r="J8" s="34">
        <f>I8*Inputs!$B$10</f>
        <v/>
      </c>
      <c r="K8" s="34">
        <f>I8*Inputs!$B$9</f>
        <v/>
      </c>
      <c r="L8" s="34">
        <f>K8*5</f>
        <v/>
      </c>
      <c r="M8" s="6">
        <f>K8*10</f>
        <v/>
      </c>
      <c r="N8" s="33">
        <f>$C8*Inputs!$B$8</f>
        <v/>
      </c>
      <c r="O8" s="34">
        <f>N8*Inputs!$B$10</f>
        <v/>
      </c>
      <c r="P8" s="34">
        <f>N8*Inputs!$B$9</f>
        <v/>
      </c>
      <c r="Q8" s="34">
        <f>P8*5</f>
        <v/>
      </c>
      <c r="R8" s="6">
        <f>P8*10</f>
        <v/>
      </c>
    </row>
    <row r="9">
      <c r="A9" s="3">
        <f>Shortlist!B8</f>
        <v/>
      </c>
      <c r="B9" s="4">
        <f>Shortlist!D8</f>
        <v/>
      </c>
      <c r="C9" s="8">
        <f>IF(B9="EV",Shortlist!S8/1000*Inputs!$B$5,Inputs!$B$4/Shortlist!I8)</f>
        <v/>
      </c>
      <c r="D9" s="33">
        <f>$C9*Inputs!$B$6</f>
        <v/>
      </c>
      <c r="E9" s="34">
        <f>D9*Inputs!$B$10</f>
        <v/>
      </c>
      <c r="F9" s="34">
        <f>D9*Inputs!$B$9</f>
        <v/>
      </c>
      <c r="G9" s="34">
        <f>F9*5</f>
        <v/>
      </c>
      <c r="H9" s="6">
        <f>F9*10</f>
        <v/>
      </c>
      <c r="I9" s="33">
        <f>$C9*Inputs!$B$7</f>
        <v/>
      </c>
      <c r="J9" s="34">
        <f>I9*Inputs!$B$10</f>
        <v/>
      </c>
      <c r="K9" s="34">
        <f>I9*Inputs!$B$9</f>
        <v/>
      </c>
      <c r="L9" s="34">
        <f>K9*5</f>
        <v/>
      </c>
      <c r="M9" s="6">
        <f>K9*10</f>
        <v/>
      </c>
      <c r="N9" s="33">
        <f>$C9*Inputs!$B$8</f>
        <v/>
      </c>
      <c r="O9" s="34">
        <f>N9*Inputs!$B$10</f>
        <v/>
      </c>
      <c r="P9" s="34">
        <f>N9*Inputs!$B$9</f>
        <v/>
      </c>
      <c r="Q9" s="34">
        <f>P9*5</f>
        <v/>
      </c>
      <c r="R9" s="6">
        <f>P9*10</f>
        <v/>
      </c>
    </row>
    <row r="10">
      <c r="A10" s="3">
        <f>Shortlist!B9</f>
        <v/>
      </c>
      <c r="B10" s="4">
        <f>Shortlist!D9</f>
        <v/>
      </c>
      <c r="C10" s="8">
        <f>IF(B10="EV",Shortlist!S9/1000*Inputs!$B$5,Inputs!$B$4/Shortlist!I9)</f>
        <v/>
      </c>
      <c r="D10" s="33">
        <f>$C10*Inputs!$B$6</f>
        <v/>
      </c>
      <c r="E10" s="34">
        <f>D10*Inputs!$B$10</f>
        <v/>
      </c>
      <c r="F10" s="34">
        <f>D10*Inputs!$B$9</f>
        <v/>
      </c>
      <c r="G10" s="34">
        <f>F10*5</f>
        <v/>
      </c>
      <c r="H10" s="6">
        <f>F10*10</f>
        <v/>
      </c>
      <c r="I10" s="33">
        <f>$C10*Inputs!$B$7</f>
        <v/>
      </c>
      <c r="J10" s="34">
        <f>I10*Inputs!$B$10</f>
        <v/>
      </c>
      <c r="K10" s="34">
        <f>I10*Inputs!$B$9</f>
        <v/>
      </c>
      <c r="L10" s="34">
        <f>K10*5</f>
        <v/>
      </c>
      <c r="M10" s="6">
        <f>K10*10</f>
        <v/>
      </c>
      <c r="N10" s="33">
        <f>$C10*Inputs!$B$8</f>
        <v/>
      </c>
      <c r="O10" s="34">
        <f>N10*Inputs!$B$10</f>
        <v/>
      </c>
      <c r="P10" s="34">
        <f>N10*Inputs!$B$9</f>
        <v/>
      </c>
      <c r="Q10" s="34">
        <f>P10*5</f>
        <v/>
      </c>
      <c r="R10" s="6">
        <f>P10*10</f>
        <v/>
      </c>
    </row>
    <row r="11">
      <c r="A11" s="3">
        <f>Shortlist!B10</f>
        <v/>
      </c>
      <c r="B11" s="4">
        <f>Shortlist!D10</f>
        <v/>
      </c>
      <c r="C11" s="8">
        <f>IF(B11="EV",Shortlist!S10/1000*Inputs!$B$5,Inputs!$B$4/Shortlist!I10)</f>
        <v/>
      </c>
      <c r="D11" s="33">
        <f>$C11*Inputs!$B$6</f>
        <v/>
      </c>
      <c r="E11" s="34">
        <f>D11*Inputs!$B$10</f>
        <v/>
      </c>
      <c r="F11" s="34">
        <f>D11*Inputs!$B$9</f>
        <v/>
      </c>
      <c r="G11" s="34">
        <f>F11*5</f>
        <v/>
      </c>
      <c r="H11" s="6">
        <f>F11*10</f>
        <v/>
      </c>
      <c r="I11" s="33">
        <f>$C11*Inputs!$B$7</f>
        <v/>
      </c>
      <c r="J11" s="34">
        <f>I11*Inputs!$B$10</f>
        <v/>
      </c>
      <c r="K11" s="34">
        <f>I11*Inputs!$B$9</f>
        <v/>
      </c>
      <c r="L11" s="34">
        <f>K11*5</f>
        <v/>
      </c>
      <c r="M11" s="6">
        <f>K11*10</f>
        <v/>
      </c>
      <c r="N11" s="33">
        <f>$C11*Inputs!$B$8</f>
        <v/>
      </c>
      <c r="O11" s="34">
        <f>N11*Inputs!$B$10</f>
        <v/>
      </c>
      <c r="P11" s="34">
        <f>N11*Inputs!$B$9</f>
        <v/>
      </c>
      <c r="Q11" s="34">
        <f>P11*5</f>
        <v/>
      </c>
      <c r="R11" s="6">
        <f>P11*10</f>
        <v/>
      </c>
    </row>
    <row r="12">
      <c r="A12" s="3">
        <f>Shortlist!B11</f>
        <v/>
      </c>
      <c r="B12" s="4">
        <f>Shortlist!D11</f>
        <v/>
      </c>
      <c r="C12" s="8">
        <f>IF(B12="EV",Shortlist!S11/1000*Inputs!$B$5,Inputs!$B$4/Shortlist!I11)</f>
        <v/>
      </c>
      <c r="D12" s="33">
        <f>$C12*Inputs!$B$6</f>
        <v/>
      </c>
      <c r="E12" s="34">
        <f>D12*Inputs!$B$10</f>
        <v/>
      </c>
      <c r="F12" s="34">
        <f>D12*Inputs!$B$9</f>
        <v/>
      </c>
      <c r="G12" s="34">
        <f>F12*5</f>
        <v/>
      </c>
      <c r="H12" s="6">
        <f>F12*10</f>
        <v/>
      </c>
      <c r="I12" s="33">
        <f>$C12*Inputs!$B$7</f>
        <v/>
      </c>
      <c r="J12" s="34">
        <f>I12*Inputs!$B$10</f>
        <v/>
      </c>
      <c r="K12" s="34">
        <f>I12*Inputs!$B$9</f>
        <v/>
      </c>
      <c r="L12" s="34">
        <f>K12*5</f>
        <v/>
      </c>
      <c r="M12" s="6">
        <f>K12*10</f>
        <v/>
      </c>
      <c r="N12" s="33">
        <f>$C12*Inputs!$B$8</f>
        <v/>
      </c>
      <c r="O12" s="34">
        <f>N12*Inputs!$B$10</f>
        <v/>
      </c>
      <c r="P12" s="34">
        <f>N12*Inputs!$B$9</f>
        <v/>
      </c>
      <c r="Q12" s="34">
        <f>P12*5</f>
        <v/>
      </c>
      <c r="R12" s="6">
        <f>P12*10</f>
        <v/>
      </c>
    </row>
    <row r="13"/>
    <row r="14">
      <c r="A14" s="9" t="inlineStr">
        <is>
          <t>Assumes today's petrol and electricity prices stay flat (no inflation). If petrol rises 3%/yr, petrol 10-year cost is ~15% higher.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3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2" customWidth="1" min="16" max="16"/>
  </cols>
  <sheetData>
    <row r="1">
      <c r="A1" s="1" t="inlineStr">
        <is>
          <t>INSURANCE – ESTIMATED PREMIUM EACH YEAR (₹, incl. 18% GST).  Year 1 is already inside the on-road price.</t>
        </is>
      </c>
    </row>
    <row r="2" ht="42" customHeight="1">
      <c r="A2" s="2" t="inlineStr">
        <is>
          <t>Scooter</t>
        </is>
      </c>
      <c r="B2" s="2" t="inlineStr">
        <is>
          <t>Type</t>
        </is>
      </c>
      <c r="C2" s="2" t="inlineStr">
        <is>
          <t>Ex-showroom (₹)</t>
        </is>
      </c>
      <c r="D2" s="2" t="inlineStr">
        <is>
          <t>TP rate used (₹/yr)</t>
        </is>
      </c>
      <c r="E2" s="2" t="inlineStr">
        <is>
          <t>Year 1</t>
        </is>
      </c>
      <c r="F2" s="2" t="inlineStr">
        <is>
          <t>Year 2</t>
        </is>
      </c>
      <c r="G2" s="2" t="inlineStr">
        <is>
          <t>Year 3</t>
        </is>
      </c>
      <c r="H2" s="2" t="inlineStr">
        <is>
          <t>Year 4</t>
        </is>
      </c>
      <c r="I2" s="2" t="inlineStr">
        <is>
          <t>Year 5</t>
        </is>
      </c>
      <c r="J2" s="2" t="inlineStr">
        <is>
          <t>Year 6</t>
        </is>
      </c>
      <c r="K2" s="2" t="inlineStr">
        <is>
          <t>Year 7</t>
        </is>
      </c>
      <c r="L2" s="2" t="inlineStr">
        <is>
          <t>Year 8</t>
        </is>
      </c>
      <c r="M2" s="2" t="inlineStr">
        <is>
          <t>Year 9</t>
        </is>
      </c>
      <c r="N2" s="2" t="inlineStr">
        <is>
          <t>Year 10</t>
        </is>
      </c>
      <c r="O2" s="2" t="inlineStr">
        <is>
          <t>Years 2–10 total (extra cash)</t>
        </is>
      </c>
      <c r="P2" s="2" t="inlineStr">
        <is>
          <t>All 10 years</t>
        </is>
      </c>
    </row>
    <row r="3">
      <c r="A3" s="3">
        <f>Shortlist!B2</f>
        <v/>
      </c>
      <c r="B3" s="4">
        <f>Shortlist!D2</f>
        <v/>
      </c>
      <c r="C3" s="5">
        <f>'Thoothukudi Price'!C3</f>
        <v/>
      </c>
      <c r="D3" s="34">
        <f>IF(B3="EV",IF(Shortlist!T2&gt;3,Inputs!$B$16,Inputs!$B$15),Inputs!$B$14)</f>
        <v/>
      </c>
      <c r="E3" s="5">
        <f>'Thoothukudi Price'!E3</f>
        <v/>
      </c>
      <c r="F3" s="34">
        <f>ROUND($C3*Inputs!$B$25*Inputs!$B$12*(1-Inputs!$C$25)*(1+Inputs!$B$13)+IF(2&gt;5,$D3*(1+Inputs!$B$13),0),0)</f>
        <v/>
      </c>
      <c r="G3" s="34">
        <f>ROUND($C3*Inputs!$B$26*Inputs!$B$12*(1-Inputs!$C$26)*(1+Inputs!$B$13)+IF(3&gt;5,$D3*(1+Inputs!$B$13),0),0)</f>
        <v/>
      </c>
      <c r="H3" s="34">
        <f>ROUND($C3*Inputs!$B$27*Inputs!$B$12*(1-Inputs!$C$27)*(1+Inputs!$B$13)+IF(4&gt;5,$D3*(1+Inputs!$B$13),0),0)</f>
        <v/>
      </c>
      <c r="I3" s="34">
        <f>ROUND($C3*Inputs!$B$28*Inputs!$B$12*(1-Inputs!$C$28)*(1+Inputs!$B$13)+IF(5&gt;5,$D3*(1+Inputs!$B$13),0),0)</f>
        <v/>
      </c>
      <c r="J3" s="34">
        <f>ROUND($C3*Inputs!$B$29*Inputs!$B$12*(1-Inputs!$C$29)*(1+Inputs!$B$13)+IF(6&gt;5,$D3*(1+Inputs!$B$13),0),0)</f>
        <v/>
      </c>
      <c r="K3" s="34">
        <f>ROUND($C3*Inputs!$B$30*Inputs!$B$12*(1-Inputs!$C$30)*(1+Inputs!$B$13)+IF(7&gt;5,$D3*(1+Inputs!$B$13),0),0)</f>
        <v/>
      </c>
      <c r="L3" s="34">
        <f>ROUND($C3*Inputs!$B$31*Inputs!$B$12*(1-Inputs!$C$31)*(1+Inputs!$B$13)+IF(8&gt;5,$D3*(1+Inputs!$B$13),0),0)</f>
        <v/>
      </c>
      <c r="M3" s="34">
        <f>ROUND($C3*Inputs!$B$32*Inputs!$B$12*(1-Inputs!$C$32)*(1+Inputs!$B$13)+IF(9&gt;5,$D3*(1+Inputs!$B$13),0),0)</f>
        <v/>
      </c>
      <c r="N3" s="34">
        <f>ROUND($C3*Inputs!$B$33*Inputs!$B$12*(1-Inputs!$C$33)*(1+Inputs!$B$13)+IF(10&gt;5,$D3*(1+Inputs!$B$13),0),0)</f>
        <v/>
      </c>
      <c r="O3" s="6">
        <f>SUM(F3:N3)</f>
        <v/>
      </c>
      <c r="P3" s="34">
        <f>SUM(E3:N3)</f>
        <v/>
      </c>
    </row>
    <row r="4">
      <c r="A4" s="3">
        <f>Shortlist!B3</f>
        <v/>
      </c>
      <c r="B4" s="4">
        <f>Shortlist!D3</f>
        <v/>
      </c>
      <c r="C4" s="5">
        <f>'Thoothukudi Price'!C4</f>
        <v/>
      </c>
      <c r="D4" s="34">
        <f>IF(B4="EV",IF(Shortlist!T3&gt;3,Inputs!$B$16,Inputs!$B$15),Inputs!$B$14)</f>
        <v/>
      </c>
      <c r="E4" s="5">
        <f>'Thoothukudi Price'!E4</f>
        <v/>
      </c>
      <c r="F4" s="34">
        <f>ROUND($C4*Inputs!$B$25*Inputs!$B$12*(1-Inputs!$C$25)*(1+Inputs!$B$13)+IF(2&gt;5,$D4*(1+Inputs!$B$13),0),0)</f>
        <v/>
      </c>
      <c r="G4" s="34">
        <f>ROUND($C4*Inputs!$B$26*Inputs!$B$12*(1-Inputs!$C$26)*(1+Inputs!$B$13)+IF(3&gt;5,$D4*(1+Inputs!$B$13),0),0)</f>
        <v/>
      </c>
      <c r="H4" s="34">
        <f>ROUND($C4*Inputs!$B$27*Inputs!$B$12*(1-Inputs!$C$27)*(1+Inputs!$B$13)+IF(4&gt;5,$D4*(1+Inputs!$B$13),0),0)</f>
        <v/>
      </c>
      <c r="I4" s="34">
        <f>ROUND($C4*Inputs!$B$28*Inputs!$B$12*(1-Inputs!$C$28)*(1+Inputs!$B$13)+IF(5&gt;5,$D4*(1+Inputs!$B$13),0),0)</f>
        <v/>
      </c>
      <c r="J4" s="34">
        <f>ROUND($C4*Inputs!$B$29*Inputs!$B$12*(1-Inputs!$C$29)*(1+Inputs!$B$13)+IF(6&gt;5,$D4*(1+Inputs!$B$13),0),0)</f>
        <v/>
      </c>
      <c r="K4" s="34">
        <f>ROUND($C4*Inputs!$B$30*Inputs!$B$12*(1-Inputs!$C$30)*(1+Inputs!$B$13)+IF(7&gt;5,$D4*(1+Inputs!$B$13),0),0)</f>
        <v/>
      </c>
      <c r="L4" s="34">
        <f>ROUND($C4*Inputs!$B$31*Inputs!$B$12*(1-Inputs!$C$31)*(1+Inputs!$B$13)+IF(8&gt;5,$D4*(1+Inputs!$B$13),0),0)</f>
        <v/>
      </c>
      <c r="M4" s="34">
        <f>ROUND($C4*Inputs!$B$32*Inputs!$B$12*(1-Inputs!$C$32)*(1+Inputs!$B$13)+IF(9&gt;5,$D4*(1+Inputs!$B$13),0),0)</f>
        <v/>
      </c>
      <c r="N4" s="34">
        <f>ROUND($C4*Inputs!$B$33*Inputs!$B$12*(1-Inputs!$C$33)*(1+Inputs!$B$13)+IF(10&gt;5,$D4*(1+Inputs!$B$13),0),0)</f>
        <v/>
      </c>
      <c r="O4" s="6">
        <f>SUM(F4:N4)</f>
        <v/>
      </c>
      <c r="P4" s="34">
        <f>SUM(E4:N4)</f>
        <v/>
      </c>
    </row>
    <row r="5">
      <c r="A5" s="3">
        <f>Shortlist!B4</f>
        <v/>
      </c>
      <c r="B5" s="4">
        <f>Shortlist!D4</f>
        <v/>
      </c>
      <c r="C5" s="5">
        <f>'Thoothukudi Price'!C5</f>
        <v/>
      </c>
      <c r="D5" s="34">
        <f>IF(B5="EV",IF(Shortlist!T4&gt;3,Inputs!$B$16,Inputs!$B$15),Inputs!$B$14)</f>
        <v/>
      </c>
      <c r="E5" s="5">
        <f>'Thoothukudi Price'!E5</f>
        <v/>
      </c>
      <c r="F5" s="34">
        <f>ROUND($C5*Inputs!$B$25*Inputs!$B$12*(1-Inputs!$C$25)*(1+Inputs!$B$13)+IF(2&gt;5,$D5*(1+Inputs!$B$13),0),0)</f>
        <v/>
      </c>
      <c r="G5" s="34">
        <f>ROUND($C5*Inputs!$B$26*Inputs!$B$12*(1-Inputs!$C$26)*(1+Inputs!$B$13)+IF(3&gt;5,$D5*(1+Inputs!$B$13),0),0)</f>
        <v/>
      </c>
      <c r="H5" s="34">
        <f>ROUND($C5*Inputs!$B$27*Inputs!$B$12*(1-Inputs!$C$27)*(1+Inputs!$B$13)+IF(4&gt;5,$D5*(1+Inputs!$B$13),0),0)</f>
        <v/>
      </c>
      <c r="I5" s="34">
        <f>ROUND($C5*Inputs!$B$28*Inputs!$B$12*(1-Inputs!$C$28)*(1+Inputs!$B$13)+IF(5&gt;5,$D5*(1+Inputs!$B$13),0),0)</f>
        <v/>
      </c>
      <c r="J5" s="34">
        <f>ROUND($C5*Inputs!$B$29*Inputs!$B$12*(1-Inputs!$C$29)*(1+Inputs!$B$13)+IF(6&gt;5,$D5*(1+Inputs!$B$13),0),0)</f>
        <v/>
      </c>
      <c r="K5" s="34">
        <f>ROUND($C5*Inputs!$B$30*Inputs!$B$12*(1-Inputs!$C$30)*(1+Inputs!$B$13)+IF(7&gt;5,$D5*(1+Inputs!$B$13),0),0)</f>
        <v/>
      </c>
      <c r="L5" s="34">
        <f>ROUND($C5*Inputs!$B$31*Inputs!$B$12*(1-Inputs!$C$31)*(1+Inputs!$B$13)+IF(8&gt;5,$D5*(1+Inputs!$B$13),0),0)</f>
        <v/>
      </c>
      <c r="M5" s="34">
        <f>ROUND($C5*Inputs!$B$32*Inputs!$B$12*(1-Inputs!$C$32)*(1+Inputs!$B$13)+IF(9&gt;5,$D5*(1+Inputs!$B$13),0),0)</f>
        <v/>
      </c>
      <c r="N5" s="34">
        <f>ROUND($C5*Inputs!$B$33*Inputs!$B$12*(1-Inputs!$C$33)*(1+Inputs!$B$13)+IF(10&gt;5,$D5*(1+Inputs!$B$13),0),0)</f>
        <v/>
      </c>
      <c r="O5" s="6">
        <f>SUM(F5:N5)</f>
        <v/>
      </c>
      <c r="P5" s="34">
        <f>SUM(E5:N5)</f>
        <v/>
      </c>
    </row>
    <row r="6">
      <c r="A6" s="3">
        <f>Shortlist!B5</f>
        <v/>
      </c>
      <c r="B6" s="4">
        <f>Shortlist!D5</f>
        <v/>
      </c>
      <c r="C6" s="5">
        <f>'Thoothukudi Price'!C6</f>
        <v/>
      </c>
      <c r="D6" s="34">
        <f>IF(B6="EV",IF(Shortlist!T5&gt;3,Inputs!$B$16,Inputs!$B$15),Inputs!$B$14)</f>
        <v/>
      </c>
      <c r="E6" s="5">
        <f>'Thoothukudi Price'!E6</f>
        <v/>
      </c>
      <c r="F6" s="34">
        <f>ROUND($C6*Inputs!$B$25*Inputs!$B$12*(1-Inputs!$C$25)*(1+Inputs!$B$13)+IF(2&gt;5,$D6*(1+Inputs!$B$13),0),0)</f>
        <v/>
      </c>
      <c r="G6" s="34">
        <f>ROUND($C6*Inputs!$B$26*Inputs!$B$12*(1-Inputs!$C$26)*(1+Inputs!$B$13)+IF(3&gt;5,$D6*(1+Inputs!$B$13),0),0)</f>
        <v/>
      </c>
      <c r="H6" s="34">
        <f>ROUND($C6*Inputs!$B$27*Inputs!$B$12*(1-Inputs!$C$27)*(1+Inputs!$B$13)+IF(4&gt;5,$D6*(1+Inputs!$B$13),0),0)</f>
        <v/>
      </c>
      <c r="I6" s="34">
        <f>ROUND($C6*Inputs!$B$28*Inputs!$B$12*(1-Inputs!$C$28)*(1+Inputs!$B$13)+IF(5&gt;5,$D6*(1+Inputs!$B$13),0),0)</f>
        <v/>
      </c>
      <c r="J6" s="34">
        <f>ROUND($C6*Inputs!$B$29*Inputs!$B$12*(1-Inputs!$C$29)*(1+Inputs!$B$13)+IF(6&gt;5,$D6*(1+Inputs!$B$13),0),0)</f>
        <v/>
      </c>
      <c r="K6" s="34">
        <f>ROUND($C6*Inputs!$B$30*Inputs!$B$12*(1-Inputs!$C$30)*(1+Inputs!$B$13)+IF(7&gt;5,$D6*(1+Inputs!$B$13),0),0)</f>
        <v/>
      </c>
      <c r="L6" s="34">
        <f>ROUND($C6*Inputs!$B$31*Inputs!$B$12*(1-Inputs!$C$31)*(1+Inputs!$B$13)+IF(8&gt;5,$D6*(1+Inputs!$B$13),0),0)</f>
        <v/>
      </c>
      <c r="M6" s="34">
        <f>ROUND($C6*Inputs!$B$32*Inputs!$B$12*(1-Inputs!$C$32)*(1+Inputs!$B$13)+IF(9&gt;5,$D6*(1+Inputs!$B$13),0),0)</f>
        <v/>
      </c>
      <c r="N6" s="34">
        <f>ROUND($C6*Inputs!$B$33*Inputs!$B$12*(1-Inputs!$C$33)*(1+Inputs!$B$13)+IF(10&gt;5,$D6*(1+Inputs!$B$13),0),0)</f>
        <v/>
      </c>
      <c r="O6" s="6">
        <f>SUM(F6:N6)</f>
        <v/>
      </c>
      <c r="P6" s="34">
        <f>SUM(E6:N6)</f>
        <v/>
      </c>
    </row>
    <row r="7">
      <c r="A7" s="3">
        <f>Shortlist!B6</f>
        <v/>
      </c>
      <c r="B7" s="4">
        <f>Shortlist!D6</f>
        <v/>
      </c>
      <c r="C7" s="5">
        <f>'Thoothukudi Price'!C7</f>
        <v/>
      </c>
      <c r="D7" s="34">
        <f>IF(B7="EV",IF(Shortlist!T6&gt;3,Inputs!$B$16,Inputs!$B$15),Inputs!$B$14)</f>
        <v/>
      </c>
      <c r="E7" s="5">
        <f>'Thoothukudi Price'!E7</f>
        <v/>
      </c>
      <c r="F7" s="34">
        <f>ROUND($C7*Inputs!$B$25*Inputs!$B$12*(1-Inputs!$C$25)*(1+Inputs!$B$13)+IF(2&gt;5,$D7*(1+Inputs!$B$13),0),0)</f>
        <v/>
      </c>
      <c r="G7" s="34">
        <f>ROUND($C7*Inputs!$B$26*Inputs!$B$12*(1-Inputs!$C$26)*(1+Inputs!$B$13)+IF(3&gt;5,$D7*(1+Inputs!$B$13),0),0)</f>
        <v/>
      </c>
      <c r="H7" s="34">
        <f>ROUND($C7*Inputs!$B$27*Inputs!$B$12*(1-Inputs!$C$27)*(1+Inputs!$B$13)+IF(4&gt;5,$D7*(1+Inputs!$B$13),0),0)</f>
        <v/>
      </c>
      <c r="I7" s="34">
        <f>ROUND($C7*Inputs!$B$28*Inputs!$B$12*(1-Inputs!$C$28)*(1+Inputs!$B$13)+IF(5&gt;5,$D7*(1+Inputs!$B$13),0),0)</f>
        <v/>
      </c>
      <c r="J7" s="34">
        <f>ROUND($C7*Inputs!$B$29*Inputs!$B$12*(1-Inputs!$C$29)*(1+Inputs!$B$13)+IF(6&gt;5,$D7*(1+Inputs!$B$13),0),0)</f>
        <v/>
      </c>
      <c r="K7" s="34">
        <f>ROUND($C7*Inputs!$B$30*Inputs!$B$12*(1-Inputs!$C$30)*(1+Inputs!$B$13)+IF(7&gt;5,$D7*(1+Inputs!$B$13),0),0)</f>
        <v/>
      </c>
      <c r="L7" s="34">
        <f>ROUND($C7*Inputs!$B$31*Inputs!$B$12*(1-Inputs!$C$31)*(1+Inputs!$B$13)+IF(8&gt;5,$D7*(1+Inputs!$B$13),0),0)</f>
        <v/>
      </c>
      <c r="M7" s="34">
        <f>ROUND($C7*Inputs!$B$32*Inputs!$B$12*(1-Inputs!$C$32)*(1+Inputs!$B$13)+IF(9&gt;5,$D7*(1+Inputs!$B$13),0),0)</f>
        <v/>
      </c>
      <c r="N7" s="34">
        <f>ROUND($C7*Inputs!$B$33*Inputs!$B$12*(1-Inputs!$C$33)*(1+Inputs!$B$13)+IF(10&gt;5,$D7*(1+Inputs!$B$13),0),0)</f>
        <v/>
      </c>
      <c r="O7" s="6">
        <f>SUM(F7:N7)</f>
        <v/>
      </c>
      <c r="P7" s="34">
        <f>SUM(E7:N7)</f>
        <v/>
      </c>
    </row>
    <row r="8">
      <c r="A8" s="3">
        <f>Shortlist!B7</f>
        <v/>
      </c>
      <c r="B8" s="4">
        <f>Shortlist!D7</f>
        <v/>
      </c>
      <c r="C8" s="5">
        <f>'Thoothukudi Price'!C8</f>
        <v/>
      </c>
      <c r="D8" s="34">
        <f>IF(B8="EV",IF(Shortlist!T7&gt;3,Inputs!$B$16,Inputs!$B$15),Inputs!$B$14)</f>
        <v/>
      </c>
      <c r="E8" s="5">
        <f>'Thoothukudi Price'!E8</f>
        <v/>
      </c>
      <c r="F8" s="34">
        <f>ROUND($C8*Inputs!$B$25*Inputs!$B$12*(1-Inputs!$C$25)*(1+Inputs!$B$13)+IF(2&gt;5,$D8*(1+Inputs!$B$13),0),0)</f>
        <v/>
      </c>
      <c r="G8" s="34">
        <f>ROUND($C8*Inputs!$B$26*Inputs!$B$12*(1-Inputs!$C$26)*(1+Inputs!$B$13)+IF(3&gt;5,$D8*(1+Inputs!$B$13),0),0)</f>
        <v/>
      </c>
      <c r="H8" s="34">
        <f>ROUND($C8*Inputs!$B$27*Inputs!$B$12*(1-Inputs!$C$27)*(1+Inputs!$B$13)+IF(4&gt;5,$D8*(1+Inputs!$B$13),0),0)</f>
        <v/>
      </c>
      <c r="I8" s="34">
        <f>ROUND($C8*Inputs!$B$28*Inputs!$B$12*(1-Inputs!$C$28)*(1+Inputs!$B$13)+IF(5&gt;5,$D8*(1+Inputs!$B$13),0),0)</f>
        <v/>
      </c>
      <c r="J8" s="34">
        <f>ROUND($C8*Inputs!$B$29*Inputs!$B$12*(1-Inputs!$C$29)*(1+Inputs!$B$13)+IF(6&gt;5,$D8*(1+Inputs!$B$13),0),0)</f>
        <v/>
      </c>
      <c r="K8" s="34">
        <f>ROUND($C8*Inputs!$B$30*Inputs!$B$12*(1-Inputs!$C$30)*(1+Inputs!$B$13)+IF(7&gt;5,$D8*(1+Inputs!$B$13),0),0)</f>
        <v/>
      </c>
      <c r="L8" s="34">
        <f>ROUND($C8*Inputs!$B$31*Inputs!$B$12*(1-Inputs!$C$31)*(1+Inputs!$B$13)+IF(8&gt;5,$D8*(1+Inputs!$B$13),0),0)</f>
        <v/>
      </c>
      <c r="M8" s="34">
        <f>ROUND($C8*Inputs!$B$32*Inputs!$B$12*(1-Inputs!$C$32)*(1+Inputs!$B$13)+IF(9&gt;5,$D8*(1+Inputs!$B$13),0),0)</f>
        <v/>
      </c>
      <c r="N8" s="34">
        <f>ROUND($C8*Inputs!$B$33*Inputs!$B$12*(1-Inputs!$C$33)*(1+Inputs!$B$13)+IF(10&gt;5,$D8*(1+Inputs!$B$13),0),0)</f>
        <v/>
      </c>
      <c r="O8" s="6">
        <f>SUM(F8:N8)</f>
        <v/>
      </c>
      <c r="P8" s="34">
        <f>SUM(E8:N8)</f>
        <v/>
      </c>
    </row>
    <row r="9">
      <c r="A9" s="3">
        <f>Shortlist!B8</f>
        <v/>
      </c>
      <c r="B9" s="4">
        <f>Shortlist!D8</f>
        <v/>
      </c>
      <c r="C9" s="5">
        <f>'Thoothukudi Price'!C9</f>
        <v/>
      </c>
      <c r="D9" s="34">
        <f>IF(B9="EV",IF(Shortlist!T8&gt;3,Inputs!$B$16,Inputs!$B$15),Inputs!$B$14)</f>
        <v/>
      </c>
      <c r="E9" s="5">
        <f>'Thoothukudi Price'!E9</f>
        <v/>
      </c>
      <c r="F9" s="34">
        <f>ROUND($C9*Inputs!$B$25*Inputs!$B$12*(1-Inputs!$C$25)*(1+Inputs!$B$13)+IF(2&gt;5,$D9*(1+Inputs!$B$13),0),0)</f>
        <v/>
      </c>
      <c r="G9" s="34">
        <f>ROUND($C9*Inputs!$B$26*Inputs!$B$12*(1-Inputs!$C$26)*(1+Inputs!$B$13)+IF(3&gt;5,$D9*(1+Inputs!$B$13),0),0)</f>
        <v/>
      </c>
      <c r="H9" s="34">
        <f>ROUND($C9*Inputs!$B$27*Inputs!$B$12*(1-Inputs!$C$27)*(1+Inputs!$B$13)+IF(4&gt;5,$D9*(1+Inputs!$B$13),0),0)</f>
        <v/>
      </c>
      <c r="I9" s="34">
        <f>ROUND($C9*Inputs!$B$28*Inputs!$B$12*(1-Inputs!$C$28)*(1+Inputs!$B$13)+IF(5&gt;5,$D9*(1+Inputs!$B$13),0),0)</f>
        <v/>
      </c>
      <c r="J9" s="34">
        <f>ROUND($C9*Inputs!$B$29*Inputs!$B$12*(1-Inputs!$C$29)*(1+Inputs!$B$13)+IF(6&gt;5,$D9*(1+Inputs!$B$13),0),0)</f>
        <v/>
      </c>
      <c r="K9" s="34">
        <f>ROUND($C9*Inputs!$B$30*Inputs!$B$12*(1-Inputs!$C$30)*(1+Inputs!$B$13)+IF(7&gt;5,$D9*(1+Inputs!$B$13),0),0)</f>
        <v/>
      </c>
      <c r="L9" s="34">
        <f>ROUND($C9*Inputs!$B$31*Inputs!$B$12*(1-Inputs!$C$31)*(1+Inputs!$B$13)+IF(8&gt;5,$D9*(1+Inputs!$B$13),0),0)</f>
        <v/>
      </c>
      <c r="M9" s="34">
        <f>ROUND($C9*Inputs!$B$32*Inputs!$B$12*(1-Inputs!$C$32)*(1+Inputs!$B$13)+IF(9&gt;5,$D9*(1+Inputs!$B$13),0),0)</f>
        <v/>
      </c>
      <c r="N9" s="34">
        <f>ROUND($C9*Inputs!$B$33*Inputs!$B$12*(1-Inputs!$C$33)*(1+Inputs!$B$13)+IF(10&gt;5,$D9*(1+Inputs!$B$13),0),0)</f>
        <v/>
      </c>
      <c r="O9" s="6">
        <f>SUM(F9:N9)</f>
        <v/>
      </c>
      <c r="P9" s="34">
        <f>SUM(E9:N9)</f>
        <v/>
      </c>
    </row>
    <row r="10">
      <c r="A10" s="3">
        <f>Shortlist!B9</f>
        <v/>
      </c>
      <c r="B10" s="4">
        <f>Shortlist!D9</f>
        <v/>
      </c>
      <c r="C10" s="5">
        <f>'Thoothukudi Price'!C10</f>
        <v/>
      </c>
      <c r="D10" s="34">
        <f>IF(B10="EV",IF(Shortlist!T9&gt;3,Inputs!$B$16,Inputs!$B$15),Inputs!$B$14)</f>
        <v/>
      </c>
      <c r="E10" s="5">
        <f>'Thoothukudi Price'!E10</f>
        <v/>
      </c>
      <c r="F10" s="34">
        <f>ROUND($C10*Inputs!$B$25*Inputs!$B$12*(1-Inputs!$C$25)*(1+Inputs!$B$13)+IF(2&gt;5,$D10*(1+Inputs!$B$13),0),0)</f>
        <v/>
      </c>
      <c r="G10" s="34">
        <f>ROUND($C10*Inputs!$B$26*Inputs!$B$12*(1-Inputs!$C$26)*(1+Inputs!$B$13)+IF(3&gt;5,$D10*(1+Inputs!$B$13),0),0)</f>
        <v/>
      </c>
      <c r="H10" s="34">
        <f>ROUND($C10*Inputs!$B$27*Inputs!$B$12*(1-Inputs!$C$27)*(1+Inputs!$B$13)+IF(4&gt;5,$D10*(1+Inputs!$B$13),0),0)</f>
        <v/>
      </c>
      <c r="I10" s="34">
        <f>ROUND($C10*Inputs!$B$28*Inputs!$B$12*(1-Inputs!$C$28)*(1+Inputs!$B$13)+IF(5&gt;5,$D10*(1+Inputs!$B$13),0),0)</f>
        <v/>
      </c>
      <c r="J10" s="34">
        <f>ROUND($C10*Inputs!$B$29*Inputs!$B$12*(1-Inputs!$C$29)*(1+Inputs!$B$13)+IF(6&gt;5,$D10*(1+Inputs!$B$13),0),0)</f>
        <v/>
      </c>
      <c r="K10" s="34">
        <f>ROUND($C10*Inputs!$B$30*Inputs!$B$12*(1-Inputs!$C$30)*(1+Inputs!$B$13)+IF(7&gt;5,$D10*(1+Inputs!$B$13),0),0)</f>
        <v/>
      </c>
      <c r="L10" s="34">
        <f>ROUND($C10*Inputs!$B$31*Inputs!$B$12*(1-Inputs!$C$31)*(1+Inputs!$B$13)+IF(8&gt;5,$D10*(1+Inputs!$B$13),0),0)</f>
        <v/>
      </c>
      <c r="M10" s="34">
        <f>ROUND($C10*Inputs!$B$32*Inputs!$B$12*(1-Inputs!$C$32)*(1+Inputs!$B$13)+IF(9&gt;5,$D10*(1+Inputs!$B$13),0),0)</f>
        <v/>
      </c>
      <c r="N10" s="34">
        <f>ROUND($C10*Inputs!$B$33*Inputs!$B$12*(1-Inputs!$C$33)*(1+Inputs!$B$13)+IF(10&gt;5,$D10*(1+Inputs!$B$13),0),0)</f>
        <v/>
      </c>
      <c r="O10" s="6">
        <f>SUM(F10:N10)</f>
        <v/>
      </c>
      <c r="P10" s="34">
        <f>SUM(E10:N10)</f>
        <v/>
      </c>
    </row>
    <row r="11">
      <c r="A11" s="3">
        <f>Shortlist!B10</f>
        <v/>
      </c>
      <c r="B11" s="4">
        <f>Shortlist!D10</f>
        <v/>
      </c>
      <c r="C11" s="5">
        <f>'Thoothukudi Price'!C11</f>
        <v/>
      </c>
      <c r="D11" s="34">
        <f>IF(B11="EV",IF(Shortlist!T10&gt;3,Inputs!$B$16,Inputs!$B$15),Inputs!$B$14)</f>
        <v/>
      </c>
      <c r="E11" s="5">
        <f>'Thoothukudi Price'!E11</f>
        <v/>
      </c>
      <c r="F11" s="34">
        <f>ROUND($C11*Inputs!$B$25*Inputs!$B$12*(1-Inputs!$C$25)*(1+Inputs!$B$13)+IF(2&gt;5,$D11*(1+Inputs!$B$13),0),0)</f>
        <v/>
      </c>
      <c r="G11" s="34">
        <f>ROUND($C11*Inputs!$B$26*Inputs!$B$12*(1-Inputs!$C$26)*(1+Inputs!$B$13)+IF(3&gt;5,$D11*(1+Inputs!$B$13),0),0)</f>
        <v/>
      </c>
      <c r="H11" s="34">
        <f>ROUND($C11*Inputs!$B$27*Inputs!$B$12*(1-Inputs!$C$27)*(1+Inputs!$B$13)+IF(4&gt;5,$D11*(1+Inputs!$B$13),0),0)</f>
        <v/>
      </c>
      <c r="I11" s="34">
        <f>ROUND($C11*Inputs!$B$28*Inputs!$B$12*(1-Inputs!$C$28)*(1+Inputs!$B$13)+IF(5&gt;5,$D11*(1+Inputs!$B$13),0),0)</f>
        <v/>
      </c>
      <c r="J11" s="34">
        <f>ROUND($C11*Inputs!$B$29*Inputs!$B$12*(1-Inputs!$C$29)*(1+Inputs!$B$13)+IF(6&gt;5,$D11*(1+Inputs!$B$13),0),0)</f>
        <v/>
      </c>
      <c r="K11" s="34">
        <f>ROUND($C11*Inputs!$B$30*Inputs!$B$12*(1-Inputs!$C$30)*(1+Inputs!$B$13)+IF(7&gt;5,$D11*(1+Inputs!$B$13),0),0)</f>
        <v/>
      </c>
      <c r="L11" s="34">
        <f>ROUND($C11*Inputs!$B$31*Inputs!$B$12*(1-Inputs!$C$31)*(1+Inputs!$B$13)+IF(8&gt;5,$D11*(1+Inputs!$B$13),0),0)</f>
        <v/>
      </c>
      <c r="M11" s="34">
        <f>ROUND($C11*Inputs!$B$32*Inputs!$B$12*(1-Inputs!$C$32)*(1+Inputs!$B$13)+IF(9&gt;5,$D11*(1+Inputs!$B$13),0),0)</f>
        <v/>
      </c>
      <c r="N11" s="34">
        <f>ROUND($C11*Inputs!$B$33*Inputs!$B$12*(1-Inputs!$C$33)*(1+Inputs!$B$13)+IF(10&gt;5,$D11*(1+Inputs!$B$13),0),0)</f>
        <v/>
      </c>
      <c r="O11" s="6">
        <f>SUM(F11:N11)</f>
        <v/>
      </c>
      <c r="P11" s="34">
        <f>SUM(E11:N11)</f>
        <v/>
      </c>
    </row>
    <row r="12">
      <c r="A12" s="3">
        <f>Shortlist!B11</f>
        <v/>
      </c>
      <c r="B12" s="4">
        <f>Shortlist!D11</f>
        <v/>
      </c>
      <c r="C12" s="5">
        <f>'Thoothukudi Price'!C12</f>
        <v/>
      </c>
      <c r="D12" s="34">
        <f>IF(B12="EV",IF(Shortlist!T11&gt;3,Inputs!$B$16,Inputs!$B$15),Inputs!$B$14)</f>
        <v/>
      </c>
      <c r="E12" s="5">
        <f>'Thoothukudi Price'!E12</f>
        <v/>
      </c>
      <c r="F12" s="34">
        <f>ROUND($C12*Inputs!$B$25*Inputs!$B$12*(1-Inputs!$C$25)*(1+Inputs!$B$13)+IF(2&gt;5,$D12*(1+Inputs!$B$13),0),0)</f>
        <v/>
      </c>
      <c r="G12" s="34">
        <f>ROUND($C12*Inputs!$B$26*Inputs!$B$12*(1-Inputs!$C$26)*(1+Inputs!$B$13)+IF(3&gt;5,$D12*(1+Inputs!$B$13),0),0)</f>
        <v/>
      </c>
      <c r="H12" s="34">
        <f>ROUND($C12*Inputs!$B$27*Inputs!$B$12*(1-Inputs!$C$27)*(1+Inputs!$B$13)+IF(4&gt;5,$D12*(1+Inputs!$B$13),0),0)</f>
        <v/>
      </c>
      <c r="I12" s="34">
        <f>ROUND($C12*Inputs!$B$28*Inputs!$B$12*(1-Inputs!$C$28)*(1+Inputs!$B$13)+IF(5&gt;5,$D12*(1+Inputs!$B$13),0),0)</f>
        <v/>
      </c>
      <c r="J12" s="34">
        <f>ROUND($C12*Inputs!$B$29*Inputs!$B$12*(1-Inputs!$C$29)*(1+Inputs!$B$13)+IF(6&gt;5,$D12*(1+Inputs!$B$13),0),0)</f>
        <v/>
      </c>
      <c r="K12" s="34">
        <f>ROUND($C12*Inputs!$B$30*Inputs!$B$12*(1-Inputs!$C$30)*(1+Inputs!$B$13)+IF(7&gt;5,$D12*(1+Inputs!$B$13),0),0)</f>
        <v/>
      </c>
      <c r="L12" s="34">
        <f>ROUND($C12*Inputs!$B$31*Inputs!$B$12*(1-Inputs!$C$31)*(1+Inputs!$B$13)+IF(8&gt;5,$D12*(1+Inputs!$B$13),0),0)</f>
        <v/>
      </c>
      <c r="M12" s="34">
        <f>ROUND($C12*Inputs!$B$32*Inputs!$B$12*(1-Inputs!$C$32)*(1+Inputs!$B$13)+IF(9&gt;5,$D12*(1+Inputs!$B$13),0),0)</f>
        <v/>
      </c>
      <c r="N12" s="34">
        <f>ROUND($C12*Inputs!$B$33*Inputs!$B$12*(1-Inputs!$C$33)*(1+Inputs!$B$13)+IF(10&gt;5,$D12*(1+Inputs!$B$13),0),0)</f>
        <v/>
      </c>
      <c r="O12" s="6">
        <f>SUM(F12:N12)</f>
        <v/>
      </c>
      <c r="P12" s="34">
        <f>SUM(E12:N12)</f>
        <v/>
      </c>
    </row>
    <row r="13"/>
    <row r="14">
      <c r="A14" s="9" t="inlineStr">
        <is>
          <t>Year 1 = own-damage for 1 yr + third-party for 5 yrs (bundled in on-road price). Years 2–5: only own-damage renewal (third-party already paid). Years 6–10: own-damage + yearly third-party.</t>
        </is>
      </c>
    </row>
    <row r="15">
      <c r="A15" s="9" t="inlineStr">
        <is>
          <t>Real premiums depend on: insurer, IDV you choose, No-Claim Bonus (NCB), add-ons (zero-dep, roadside assistance), Thoothukudi zone, vehicle age and any claims. Shop around each year – online renewals are often cheaper than the dealer's.</t>
        </is>
      </c>
    </row>
    <row r="16">
      <c r="A16" s="9" t="inlineStr">
        <is>
          <t>EVs: third-party for ≤3 kW motors is cheaper (₹457 vs ₹714). Peak power used to pick the slab; where peak power is unknown, ≤3 kW slab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MAINTENANCE ESTIMATE (₹) – Years 1–5 and Years 6–10, by usage level</t>
        </is>
      </c>
    </row>
    <row r="2" ht="42" customHeight="1">
      <c r="A2" s="2" t="inlineStr">
        <is>
          <t>Item</t>
        </is>
      </c>
      <c r="B2" s="2" t="inlineStr">
        <is>
          <t>Applies to</t>
        </is>
      </c>
      <c r="C2" s="2" t="inlineStr">
        <is>
          <t>LOW yrs 1–5</t>
        </is>
      </c>
      <c r="D2" s="2" t="inlineStr">
        <is>
          <t>LOW yrs 6–10</t>
        </is>
      </c>
      <c r="E2" s="2" t="inlineStr">
        <is>
          <t>MED yrs 1–5</t>
        </is>
      </c>
      <c r="F2" s="2" t="inlineStr">
        <is>
          <t>MED yrs 6–10</t>
        </is>
      </c>
      <c r="G2" s="2" t="inlineStr">
        <is>
          <t>HIGH yrs 1–5</t>
        </is>
      </c>
      <c r="H2" s="2" t="inlineStr">
        <is>
          <t>HIGH yrs 6–10</t>
        </is>
      </c>
    </row>
    <row r="3">
      <c r="A3" s="3">
        <f>Inputs!A39</f>
        <v/>
      </c>
      <c r="B3" s="4">
        <f>Inputs!B39</f>
        <v/>
      </c>
      <c r="C3" s="34">
        <f>IF(ISNUMBER(Inputs!$D$39),INT((Inputs!$B$6*Inputs!$B$9*5)/Inputs!$D$39),INT(5/Inputs!$E$39))*Inputs!$C$39</f>
        <v/>
      </c>
      <c r="D3" s="34">
        <f>IF(ISNUMBER(Inputs!$D$39),(INT((Inputs!$B$6*Inputs!$B$9*10)/Inputs!$D$39)-INT((Inputs!$B$6*Inputs!$B$9*5)/Inputs!$D$39)),(INT(10/Inputs!$E$39)-INT(5/Inputs!$E$39)))*Inputs!$C$39</f>
        <v/>
      </c>
      <c r="E3" s="34">
        <f>IF(ISNUMBER(Inputs!$D$39),INT((Inputs!$B$7*Inputs!$B$9*5)/Inputs!$D$39),INT(5/Inputs!$E$39))*Inputs!$C$39</f>
        <v/>
      </c>
      <c r="F3" s="34">
        <f>IF(ISNUMBER(Inputs!$D$39),(INT((Inputs!$B$7*Inputs!$B$9*10)/Inputs!$D$39)-INT((Inputs!$B$7*Inputs!$B$9*5)/Inputs!$D$39)),(INT(10/Inputs!$E$39)-INT(5/Inputs!$E$39)))*Inputs!$C$39</f>
        <v/>
      </c>
      <c r="G3" s="34">
        <f>IF(ISNUMBER(Inputs!$D$39),INT((Inputs!$B$8*Inputs!$B$9*5)/Inputs!$D$39),INT(5/Inputs!$E$39))*Inputs!$C$39</f>
        <v/>
      </c>
      <c r="H3" s="34">
        <f>IF(ISNUMBER(Inputs!$D$39),(INT((Inputs!$B$8*Inputs!$B$9*10)/Inputs!$D$39)-INT((Inputs!$B$8*Inputs!$B$9*5)/Inputs!$D$39)),(INT(10/Inputs!$E$39)-INT(5/Inputs!$E$39)))*Inputs!$C$39</f>
        <v/>
      </c>
    </row>
    <row r="4">
      <c r="A4" s="3">
        <f>Inputs!A40</f>
        <v/>
      </c>
      <c r="B4" s="4">
        <f>Inputs!B40</f>
        <v/>
      </c>
      <c r="C4" s="34">
        <f>IF(ISNUMBER(Inputs!$D$40),INT((Inputs!$B$6*Inputs!$B$9*5)/Inputs!$D$40),INT(5/Inputs!$E$40))*Inputs!$C$40</f>
        <v/>
      </c>
      <c r="D4" s="34">
        <f>IF(ISNUMBER(Inputs!$D$40),(INT((Inputs!$B$6*Inputs!$B$9*10)/Inputs!$D$40)-INT((Inputs!$B$6*Inputs!$B$9*5)/Inputs!$D$40)),(INT(10/Inputs!$E$40)-INT(5/Inputs!$E$40)))*Inputs!$C$40</f>
        <v/>
      </c>
      <c r="E4" s="34">
        <f>IF(ISNUMBER(Inputs!$D$40),INT((Inputs!$B$7*Inputs!$B$9*5)/Inputs!$D$40),INT(5/Inputs!$E$40))*Inputs!$C$40</f>
        <v/>
      </c>
      <c r="F4" s="34">
        <f>IF(ISNUMBER(Inputs!$D$40),(INT((Inputs!$B$7*Inputs!$B$9*10)/Inputs!$D$40)-INT((Inputs!$B$7*Inputs!$B$9*5)/Inputs!$D$40)),(INT(10/Inputs!$E$40)-INT(5/Inputs!$E$40)))*Inputs!$C$40</f>
        <v/>
      </c>
      <c r="G4" s="34">
        <f>IF(ISNUMBER(Inputs!$D$40),INT((Inputs!$B$8*Inputs!$B$9*5)/Inputs!$D$40),INT(5/Inputs!$E$40))*Inputs!$C$40</f>
        <v/>
      </c>
      <c r="H4" s="34">
        <f>IF(ISNUMBER(Inputs!$D$40),(INT((Inputs!$B$8*Inputs!$B$9*10)/Inputs!$D$40)-INT((Inputs!$B$8*Inputs!$B$9*5)/Inputs!$D$40)),(INT(10/Inputs!$E$40)-INT(5/Inputs!$E$40)))*Inputs!$C$40</f>
        <v/>
      </c>
    </row>
    <row r="5">
      <c r="A5" s="3">
        <f>Inputs!A41</f>
        <v/>
      </c>
      <c r="B5" s="4">
        <f>Inputs!B41</f>
        <v/>
      </c>
      <c r="C5" s="34">
        <f>IF(ISNUMBER(Inputs!$D$41),INT((Inputs!$B$6*Inputs!$B$9*5)/Inputs!$D$41),INT(5/Inputs!$E$41))*Inputs!$C$41</f>
        <v/>
      </c>
      <c r="D5" s="34">
        <f>IF(ISNUMBER(Inputs!$D$41),(INT((Inputs!$B$6*Inputs!$B$9*10)/Inputs!$D$41)-INT((Inputs!$B$6*Inputs!$B$9*5)/Inputs!$D$41)),(INT(10/Inputs!$E$41)-INT(5/Inputs!$E$41)))*Inputs!$C$41</f>
        <v/>
      </c>
      <c r="E5" s="34">
        <f>IF(ISNUMBER(Inputs!$D$41),INT((Inputs!$B$7*Inputs!$B$9*5)/Inputs!$D$41),INT(5/Inputs!$E$41))*Inputs!$C$41</f>
        <v/>
      </c>
      <c r="F5" s="34">
        <f>IF(ISNUMBER(Inputs!$D$41),(INT((Inputs!$B$7*Inputs!$B$9*10)/Inputs!$D$41)-INT((Inputs!$B$7*Inputs!$B$9*5)/Inputs!$D$41)),(INT(10/Inputs!$E$41)-INT(5/Inputs!$E$41)))*Inputs!$C$41</f>
        <v/>
      </c>
      <c r="G5" s="34">
        <f>IF(ISNUMBER(Inputs!$D$41),INT((Inputs!$B$8*Inputs!$B$9*5)/Inputs!$D$41),INT(5/Inputs!$E$41))*Inputs!$C$41</f>
        <v/>
      </c>
      <c r="H5" s="34">
        <f>IF(ISNUMBER(Inputs!$D$41),(INT((Inputs!$B$8*Inputs!$B$9*10)/Inputs!$D$41)-INT((Inputs!$B$8*Inputs!$B$9*5)/Inputs!$D$41)),(INT(10/Inputs!$E$41)-INT(5/Inputs!$E$41)))*Inputs!$C$41</f>
        <v/>
      </c>
    </row>
    <row r="6">
      <c r="A6" s="3">
        <f>Inputs!A42</f>
        <v/>
      </c>
      <c r="B6" s="4">
        <f>Inputs!B42</f>
        <v/>
      </c>
      <c r="C6" s="34">
        <f>IF(ISNUMBER(Inputs!$D$42),INT((Inputs!$B$6*Inputs!$B$9*5)/Inputs!$D$42),INT(5/Inputs!$E$42))*Inputs!$C$42</f>
        <v/>
      </c>
      <c r="D6" s="34">
        <f>IF(ISNUMBER(Inputs!$D$42),(INT((Inputs!$B$6*Inputs!$B$9*10)/Inputs!$D$42)-INT((Inputs!$B$6*Inputs!$B$9*5)/Inputs!$D$42)),(INT(10/Inputs!$E$42)-INT(5/Inputs!$E$42)))*Inputs!$C$42</f>
        <v/>
      </c>
      <c r="E6" s="34">
        <f>IF(ISNUMBER(Inputs!$D$42),INT((Inputs!$B$7*Inputs!$B$9*5)/Inputs!$D$42),INT(5/Inputs!$E$42))*Inputs!$C$42</f>
        <v/>
      </c>
      <c r="F6" s="34">
        <f>IF(ISNUMBER(Inputs!$D$42),(INT((Inputs!$B$7*Inputs!$B$9*10)/Inputs!$D$42)-INT((Inputs!$B$7*Inputs!$B$9*5)/Inputs!$D$42)),(INT(10/Inputs!$E$42)-INT(5/Inputs!$E$42)))*Inputs!$C$42</f>
        <v/>
      </c>
      <c r="G6" s="34">
        <f>IF(ISNUMBER(Inputs!$D$42),INT((Inputs!$B$8*Inputs!$B$9*5)/Inputs!$D$42),INT(5/Inputs!$E$42))*Inputs!$C$42</f>
        <v/>
      </c>
      <c r="H6" s="34">
        <f>IF(ISNUMBER(Inputs!$D$42),(INT((Inputs!$B$8*Inputs!$B$9*10)/Inputs!$D$42)-INT((Inputs!$B$8*Inputs!$B$9*5)/Inputs!$D$42)),(INT(10/Inputs!$E$42)-INT(5/Inputs!$E$42)))*Inputs!$C$42</f>
        <v/>
      </c>
    </row>
    <row r="7">
      <c r="A7" s="3">
        <f>Inputs!A43</f>
        <v/>
      </c>
      <c r="B7" s="4">
        <f>Inputs!B43</f>
        <v/>
      </c>
      <c r="C7" s="34">
        <f>IF(ISNUMBER(Inputs!$D$43),INT((Inputs!$B$6*Inputs!$B$9*5)/Inputs!$D$43),INT(5/Inputs!$E$43))*Inputs!$C$43</f>
        <v/>
      </c>
      <c r="D7" s="34">
        <f>IF(ISNUMBER(Inputs!$D$43),(INT((Inputs!$B$6*Inputs!$B$9*10)/Inputs!$D$43)-INT((Inputs!$B$6*Inputs!$B$9*5)/Inputs!$D$43)),(INT(10/Inputs!$E$43)-INT(5/Inputs!$E$43)))*Inputs!$C$43</f>
        <v/>
      </c>
      <c r="E7" s="34">
        <f>IF(ISNUMBER(Inputs!$D$43),INT((Inputs!$B$7*Inputs!$B$9*5)/Inputs!$D$43),INT(5/Inputs!$E$43))*Inputs!$C$43</f>
        <v/>
      </c>
      <c r="F7" s="34">
        <f>IF(ISNUMBER(Inputs!$D$43),(INT((Inputs!$B$7*Inputs!$B$9*10)/Inputs!$D$43)-INT((Inputs!$B$7*Inputs!$B$9*5)/Inputs!$D$43)),(INT(10/Inputs!$E$43)-INT(5/Inputs!$E$43)))*Inputs!$C$43</f>
        <v/>
      </c>
      <c r="G7" s="34">
        <f>IF(ISNUMBER(Inputs!$D$43),INT((Inputs!$B$8*Inputs!$B$9*5)/Inputs!$D$43),INT(5/Inputs!$E$43))*Inputs!$C$43</f>
        <v/>
      </c>
      <c r="H7" s="34">
        <f>IF(ISNUMBER(Inputs!$D$43),(INT((Inputs!$B$8*Inputs!$B$9*10)/Inputs!$D$43)-INT((Inputs!$B$8*Inputs!$B$9*5)/Inputs!$D$43)),(INT(10/Inputs!$E$43)-INT(5/Inputs!$E$43)))*Inputs!$C$43</f>
        <v/>
      </c>
    </row>
    <row r="8">
      <c r="A8" s="3">
        <f>Inputs!A44</f>
        <v/>
      </c>
      <c r="B8" s="4">
        <f>Inputs!B44</f>
        <v/>
      </c>
      <c r="C8" s="34">
        <f>IF(ISNUMBER(Inputs!$D$44),INT((Inputs!$B$6*Inputs!$B$9*5)/Inputs!$D$44),INT(5/Inputs!$E$44))*Inputs!$C$44</f>
        <v/>
      </c>
      <c r="D8" s="34">
        <f>IF(ISNUMBER(Inputs!$D$44),(INT((Inputs!$B$6*Inputs!$B$9*10)/Inputs!$D$44)-INT((Inputs!$B$6*Inputs!$B$9*5)/Inputs!$D$44)),(INT(10/Inputs!$E$44)-INT(5/Inputs!$E$44)))*Inputs!$C$44</f>
        <v/>
      </c>
      <c r="E8" s="34">
        <f>IF(ISNUMBER(Inputs!$D$44),INT((Inputs!$B$7*Inputs!$B$9*5)/Inputs!$D$44),INT(5/Inputs!$E$44))*Inputs!$C$44</f>
        <v/>
      </c>
      <c r="F8" s="34">
        <f>IF(ISNUMBER(Inputs!$D$44),(INT((Inputs!$B$7*Inputs!$B$9*10)/Inputs!$D$44)-INT((Inputs!$B$7*Inputs!$B$9*5)/Inputs!$D$44)),(INT(10/Inputs!$E$44)-INT(5/Inputs!$E$44)))*Inputs!$C$44</f>
        <v/>
      </c>
      <c r="G8" s="34">
        <f>IF(ISNUMBER(Inputs!$D$44),INT((Inputs!$B$8*Inputs!$B$9*5)/Inputs!$D$44),INT(5/Inputs!$E$44))*Inputs!$C$44</f>
        <v/>
      </c>
      <c r="H8" s="34">
        <f>IF(ISNUMBER(Inputs!$D$44),(INT((Inputs!$B$8*Inputs!$B$9*10)/Inputs!$D$44)-INT((Inputs!$B$8*Inputs!$B$9*5)/Inputs!$D$44)),(INT(10/Inputs!$E$44)-INT(5/Inputs!$E$44)))*Inputs!$C$44</f>
        <v/>
      </c>
    </row>
    <row r="9">
      <c r="A9" s="3">
        <f>Inputs!A45</f>
        <v/>
      </c>
      <c r="B9" s="4">
        <f>Inputs!B45</f>
        <v/>
      </c>
      <c r="C9" s="34">
        <f>IF(ISNUMBER(Inputs!$D$45),INT((Inputs!$B$6*Inputs!$B$9*5)/Inputs!$D$45),INT(5/Inputs!$E$45))*Inputs!$C$45</f>
        <v/>
      </c>
      <c r="D9" s="34">
        <f>IF(ISNUMBER(Inputs!$D$45),(INT((Inputs!$B$6*Inputs!$B$9*10)/Inputs!$D$45)-INT((Inputs!$B$6*Inputs!$B$9*5)/Inputs!$D$45)),(INT(10/Inputs!$E$45)-INT(5/Inputs!$E$45)))*Inputs!$C$45</f>
        <v/>
      </c>
      <c r="E9" s="34">
        <f>IF(ISNUMBER(Inputs!$D$45),INT((Inputs!$B$7*Inputs!$B$9*5)/Inputs!$D$45),INT(5/Inputs!$E$45))*Inputs!$C$45</f>
        <v/>
      </c>
      <c r="F9" s="34">
        <f>IF(ISNUMBER(Inputs!$D$45),(INT((Inputs!$B$7*Inputs!$B$9*10)/Inputs!$D$45)-INT((Inputs!$B$7*Inputs!$B$9*5)/Inputs!$D$45)),(INT(10/Inputs!$E$45)-INT(5/Inputs!$E$45)))*Inputs!$C$45</f>
        <v/>
      </c>
      <c r="G9" s="34">
        <f>IF(ISNUMBER(Inputs!$D$45),INT((Inputs!$B$8*Inputs!$B$9*5)/Inputs!$D$45),INT(5/Inputs!$E$45))*Inputs!$C$45</f>
        <v/>
      </c>
      <c r="H9" s="34">
        <f>IF(ISNUMBER(Inputs!$D$45),(INT((Inputs!$B$8*Inputs!$B$9*10)/Inputs!$D$45)-INT((Inputs!$B$8*Inputs!$B$9*5)/Inputs!$D$45)),(INT(10/Inputs!$E$45)-INT(5/Inputs!$E$45)))*Inputs!$C$45</f>
        <v/>
      </c>
    </row>
    <row r="10">
      <c r="A10" s="3">
        <f>Inputs!A46</f>
        <v/>
      </c>
      <c r="B10" s="4">
        <f>Inputs!B46</f>
        <v/>
      </c>
      <c r="C10" s="34">
        <f>IF(ISNUMBER(Inputs!$D$46),INT((Inputs!$B$6*Inputs!$B$9*5)/Inputs!$D$46),INT(5/Inputs!$E$46))*Inputs!$C$46</f>
        <v/>
      </c>
      <c r="D10" s="34">
        <f>IF(ISNUMBER(Inputs!$D$46),(INT((Inputs!$B$6*Inputs!$B$9*10)/Inputs!$D$46)-INT((Inputs!$B$6*Inputs!$B$9*5)/Inputs!$D$46)),(INT(10/Inputs!$E$46)-INT(5/Inputs!$E$46)))*Inputs!$C$46</f>
        <v/>
      </c>
      <c r="E10" s="34">
        <f>IF(ISNUMBER(Inputs!$D$46),INT((Inputs!$B$7*Inputs!$B$9*5)/Inputs!$D$46),INT(5/Inputs!$E$46))*Inputs!$C$46</f>
        <v/>
      </c>
      <c r="F10" s="34">
        <f>IF(ISNUMBER(Inputs!$D$46),(INT((Inputs!$B$7*Inputs!$B$9*10)/Inputs!$D$46)-INT((Inputs!$B$7*Inputs!$B$9*5)/Inputs!$D$46)),(INT(10/Inputs!$E$46)-INT(5/Inputs!$E$46)))*Inputs!$C$46</f>
        <v/>
      </c>
      <c r="G10" s="34">
        <f>IF(ISNUMBER(Inputs!$D$46),INT((Inputs!$B$8*Inputs!$B$9*5)/Inputs!$D$46),INT(5/Inputs!$E$46))*Inputs!$C$46</f>
        <v/>
      </c>
      <c r="H10" s="34">
        <f>IF(ISNUMBER(Inputs!$D$46),(INT((Inputs!$B$8*Inputs!$B$9*10)/Inputs!$D$46)-INT((Inputs!$B$8*Inputs!$B$9*5)/Inputs!$D$46)),(INT(10/Inputs!$E$46)-INT(5/Inputs!$E$46)))*Inputs!$C$46</f>
        <v/>
      </c>
    </row>
    <row r="11">
      <c r="A11" s="3">
        <f>Inputs!A47</f>
        <v/>
      </c>
      <c r="B11" s="4">
        <f>Inputs!B47</f>
        <v/>
      </c>
      <c r="C11" s="34">
        <f>IF(ISNUMBER(Inputs!$D$47),INT((Inputs!$B$6*Inputs!$B$9*5)/Inputs!$D$47),INT(5/Inputs!$E$47))*Inputs!$C$47</f>
        <v/>
      </c>
      <c r="D11" s="34">
        <f>IF(ISNUMBER(Inputs!$D$47),(INT((Inputs!$B$6*Inputs!$B$9*10)/Inputs!$D$47)-INT((Inputs!$B$6*Inputs!$B$9*5)/Inputs!$D$47)),(INT(10/Inputs!$E$47)-INT(5/Inputs!$E$47)))*Inputs!$C$47</f>
        <v/>
      </c>
      <c r="E11" s="34">
        <f>IF(ISNUMBER(Inputs!$D$47),INT((Inputs!$B$7*Inputs!$B$9*5)/Inputs!$D$47),INT(5/Inputs!$E$47))*Inputs!$C$47</f>
        <v/>
      </c>
      <c r="F11" s="34">
        <f>IF(ISNUMBER(Inputs!$D$47),(INT((Inputs!$B$7*Inputs!$B$9*10)/Inputs!$D$47)-INT((Inputs!$B$7*Inputs!$B$9*5)/Inputs!$D$47)),(INT(10/Inputs!$E$47)-INT(5/Inputs!$E$47)))*Inputs!$C$47</f>
        <v/>
      </c>
      <c r="G11" s="34">
        <f>IF(ISNUMBER(Inputs!$D$47),INT((Inputs!$B$8*Inputs!$B$9*5)/Inputs!$D$47),INT(5/Inputs!$E$47))*Inputs!$C$47</f>
        <v/>
      </c>
      <c r="H11" s="34">
        <f>IF(ISNUMBER(Inputs!$D$47),(INT((Inputs!$B$8*Inputs!$B$9*10)/Inputs!$D$47)-INT((Inputs!$B$8*Inputs!$B$9*5)/Inputs!$D$47)),(INT(10/Inputs!$E$47)-INT(5/Inputs!$E$47)))*Inputs!$C$47</f>
        <v/>
      </c>
    </row>
    <row r="12">
      <c r="A12" s="3">
        <f>Inputs!A48</f>
        <v/>
      </c>
      <c r="B12" s="4">
        <f>Inputs!B48</f>
        <v/>
      </c>
      <c r="C12" s="34">
        <f>IF(ISNUMBER(Inputs!$D$48),INT((Inputs!$B$6*Inputs!$B$9*5)/Inputs!$D$48),INT(5/Inputs!$E$48))*Inputs!$C$48</f>
        <v/>
      </c>
      <c r="D12" s="34">
        <f>IF(ISNUMBER(Inputs!$D$48),(INT((Inputs!$B$6*Inputs!$B$9*10)/Inputs!$D$48)-INT((Inputs!$B$6*Inputs!$B$9*5)/Inputs!$D$48)),(INT(10/Inputs!$E$48)-INT(5/Inputs!$E$48)))*Inputs!$C$48</f>
        <v/>
      </c>
      <c r="E12" s="34">
        <f>IF(ISNUMBER(Inputs!$D$48),INT((Inputs!$B$7*Inputs!$B$9*5)/Inputs!$D$48),INT(5/Inputs!$E$48))*Inputs!$C$48</f>
        <v/>
      </c>
      <c r="F12" s="34">
        <f>IF(ISNUMBER(Inputs!$D$48),(INT((Inputs!$B$7*Inputs!$B$9*10)/Inputs!$D$48)-INT((Inputs!$B$7*Inputs!$B$9*5)/Inputs!$D$48)),(INT(10/Inputs!$E$48)-INT(5/Inputs!$E$48)))*Inputs!$C$48</f>
        <v/>
      </c>
      <c r="G12" s="34">
        <f>IF(ISNUMBER(Inputs!$D$48),INT((Inputs!$B$8*Inputs!$B$9*5)/Inputs!$D$48),INT(5/Inputs!$E$48))*Inputs!$C$48</f>
        <v/>
      </c>
      <c r="H12" s="34">
        <f>IF(ISNUMBER(Inputs!$D$48),(INT((Inputs!$B$8*Inputs!$B$9*10)/Inputs!$D$48)-INT((Inputs!$B$8*Inputs!$B$9*5)/Inputs!$D$48)),(INT(10/Inputs!$E$48)-INT(5/Inputs!$E$48)))*Inputs!$C$48</f>
        <v/>
      </c>
    </row>
    <row r="13">
      <c r="A13" s="3">
        <f>Inputs!A49</f>
        <v/>
      </c>
      <c r="B13" s="4">
        <f>Inputs!B49</f>
        <v/>
      </c>
      <c r="C13" s="34">
        <f>IF(ISNUMBER(Inputs!$D$49),INT((Inputs!$B$6*Inputs!$B$9*5)/Inputs!$D$49),INT(5/Inputs!$E$49))*Inputs!$C$49</f>
        <v/>
      </c>
      <c r="D13" s="34">
        <f>IF(ISNUMBER(Inputs!$D$49),(INT((Inputs!$B$6*Inputs!$B$9*10)/Inputs!$D$49)-INT((Inputs!$B$6*Inputs!$B$9*5)/Inputs!$D$49)),(INT(10/Inputs!$E$49)-INT(5/Inputs!$E$49)))*Inputs!$C$49</f>
        <v/>
      </c>
      <c r="E13" s="34">
        <f>IF(ISNUMBER(Inputs!$D$49),INT((Inputs!$B$7*Inputs!$B$9*5)/Inputs!$D$49),INT(5/Inputs!$E$49))*Inputs!$C$49</f>
        <v/>
      </c>
      <c r="F13" s="34">
        <f>IF(ISNUMBER(Inputs!$D$49),(INT((Inputs!$B$7*Inputs!$B$9*10)/Inputs!$D$49)-INT((Inputs!$B$7*Inputs!$B$9*5)/Inputs!$D$49)),(INT(10/Inputs!$E$49)-INT(5/Inputs!$E$49)))*Inputs!$C$49</f>
        <v/>
      </c>
      <c r="G13" s="34">
        <f>IF(ISNUMBER(Inputs!$D$49),INT((Inputs!$B$8*Inputs!$B$9*5)/Inputs!$D$49),INT(5/Inputs!$E$49))*Inputs!$C$49</f>
        <v/>
      </c>
      <c r="H13" s="34">
        <f>IF(ISNUMBER(Inputs!$D$49),(INT((Inputs!$B$8*Inputs!$B$9*10)/Inputs!$D$49)-INT((Inputs!$B$8*Inputs!$B$9*5)/Inputs!$D$49)),(INT(10/Inputs!$E$49)-INT(5/Inputs!$E$49)))*Inputs!$C$49</f>
        <v/>
      </c>
    </row>
    <row r="14">
      <c r="A14" s="3">
        <f>Inputs!A50</f>
        <v/>
      </c>
      <c r="B14" s="4">
        <f>Inputs!B50</f>
        <v/>
      </c>
      <c r="C14" s="34">
        <f>IF(ISNUMBER(Inputs!$D$50),INT((Inputs!$B$6*Inputs!$B$9*5)/Inputs!$D$50),INT(5/Inputs!$E$50))*Inputs!$C$50</f>
        <v/>
      </c>
      <c r="D14" s="34">
        <f>IF(ISNUMBER(Inputs!$D$50),(INT((Inputs!$B$6*Inputs!$B$9*10)/Inputs!$D$50)-INT((Inputs!$B$6*Inputs!$B$9*5)/Inputs!$D$50)),(INT(10/Inputs!$E$50)-INT(5/Inputs!$E$50)))*Inputs!$C$50</f>
        <v/>
      </c>
      <c r="E14" s="34">
        <f>IF(ISNUMBER(Inputs!$D$50),INT((Inputs!$B$7*Inputs!$B$9*5)/Inputs!$D$50),INT(5/Inputs!$E$50))*Inputs!$C$50</f>
        <v/>
      </c>
      <c r="F14" s="34">
        <f>IF(ISNUMBER(Inputs!$D$50),(INT((Inputs!$B$7*Inputs!$B$9*10)/Inputs!$D$50)-INT((Inputs!$B$7*Inputs!$B$9*5)/Inputs!$D$50)),(INT(10/Inputs!$E$50)-INT(5/Inputs!$E$50)))*Inputs!$C$50</f>
        <v/>
      </c>
      <c r="G14" s="34">
        <f>IF(ISNUMBER(Inputs!$D$50),INT((Inputs!$B$8*Inputs!$B$9*5)/Inputs!$D$50),INT(5/Inputs!$E$50))*Inputs!$C$50</f>
        <v/>
      </c>
      <c r="H14" s="34">
        <f>IF(ISNUMBER(Inputs!$D$50),(INT((Inputs!$B$8*Inputs!$B$9*10)/Inputs!$D$50)-INT((Inputs!$B$8*Inputs!$B$9*5)/Inputs!$D$50)),(INT(10/Inputs!$E$50)-INT(5/Inputs!$E$50)))*Inputs!$C$50</f>
        <v/>
      </c>
    </row>
    <row r="15">
      <c r="A15" s="3">
        <f>Inputs!A51</f>
        <v/>
      </c>
      <c r="B15" s="4">
        <f>Inputs!B51</f>
        <v/>
      </c>
      <c r="C15" s="34">
        <f>IF(ISNUMBER(Inputs!$D$51),INT((Inputs!$B$6*Inputs!$B$9*5)/Inputs!$D$51),INT(5/Inputs!$E$51))*Inputs!$C$51</f>
        <v/>
      </c>
      <c r="D15" s="34">
        <f>IF(ISNUMBER(Inputs!$D$51),(INT((Inputs!$B$6*Inputs!$B$9*10)/Inputs!$D$51)-INT((Inputs!$B$6*Inputs!$B$9*5)/Inputs!$D$51)),(INT(10/Inputs!$E$51)-INT(5/Inputs!$E$51)))*Inputs!$C$51</f>
        <v/>
      </c>
      <c r="E15" s="34">
        <f>IF(ISNUMBER(Inputs!$D$51),INT((Inputs!$B$7*Inputs!$B$9*5)/Inputs!$D$51),INT(5/Inputs!$E$51))*Inputs!$C$51</f>
        <v/>
      </c>
      <c r="F15" s="34">
        <f>IF(ISNUMBER(Inputs!$D$51),(INT((Inputs!$B$7*Inputs!$B$9*10)/Inputs!$D$51)-INT((Inputs!$B$7*Inputs!$B$9*5)/Inputs!$D$51)),(INT(10/Inputs!$E$51)-INT(5/Inputs!$E$51)))*Inputs!$C$51</f>
        <v/>
      </c>
      <c r="G15" s="34">
        <f>IF(ISNUMBER(Inputs!$D$51),INT((Inputs!$B$8*Inputs!$B$9*5)/Inputs!$D$51),INT(5/Inputs!$E$51))*Inputs!$C$51</f>
        <v/>
      </c>
      <c r="H15" s="34">
        <f>IF(ISNUMBER(Inputs!$D$51),(INT((Inputs!$B$8*Inputs!$B$9*10)/Inputs!$D$51)-INT((Inputs!$B$8*Inputs!$B$9*5)/Inputs!$D$51)),(INT(10/Inputs!$E$51)-INT(5/Inputs!$E$51)))*Inputs!$C$51</f>
        <v/>
      </c>
    </row>
    <row r="16">
      <c r="A16" s="3">
        <f>Inputs!A52</f>
        <v/>
      </c>
      <c r="B16" s="4">
        <f>Inputs!B52</f>
        <v/>
      </c>
      <c r="C16" s="34">
        <f>IF(ISNUMBER(Inputs!$D$52),INT((Inputs!$B$6*Inputs!$B$9*5)/Inputs!$D$52),INT(5/Inputs!$E$52))*Inputs!$C$52</f>
        <v/>
      </c>
      <c r="D16" s="34">
        <f>IF(ISNUMBER(Inputs!$D$52),(INT((Inputs!$B$6*Inputs!$B$9*10)/Inputs!$D$52)-INT((Inputs!$B$6*Inputs!$B$9*5)/Inputs!$D$52)),(INT(10/Inputs!$E$52)-INT(5/Inputs!$E$52)))*Inputs!$C$52</f>
        <v/>
      </c>
      <c r="E16" s="34">
        <f>IF(ISNUMBER(Inputs!$D$52),INT((Inputs!$B$7*Inputs!$B$9*5)/Inputs!$D$52),INT(5/Inputs!$E$52))*Inputs!$C$52</f>
        <v/>
      </c>
      <c r="F16" s="34">
        <f>IF(ISNUMBER(Inputs!$D$52),(INT((Inputs!$B$7*Inputs!$B$9*10)/Inputs!$D$52)-INT((Inputs!$B$7*Inputs!$B$9*5)/Inputs!$D$52)),(INT(10/Inputs!$E$52)-INT(5/Inputs!$E$52)))*Inputs!$C$52</f>
        <v/>
      </c>
      <c r="G16" s="34">
        <f>IF(ISNUMBER(Inputs!$D$52),INT((Inputs!$B$8*Inputs!$B$9*5)/Inputs!$D$52),INT(5/Inputs!$E$52))*Inputs!$C$52</f>
        <v/>
      </c>
      <c r="H16" s="34">
        <f>IF(ISNUMBER(Inputs!$D$52),(INT((Inputs!$B$8*Inputs!$B$9*10)/Inputs!$D$52)-INT((Inputs!$B$8*Inputs!$B$9*5)/Inputs!$D$52)),(INT(10/Inputs!$E$52)-INT(5/Inputs!$E$52)))*Inputs!$C$52</f>
        <v/>
      </c>
    </row>
    <row r="17"/>
    <row r="18">
      <c r="A18" s="35" t="inlineStr">
        <is>
          <t>TOTAL – EV</t>
        </is>
      </c>
      <c r="B18" s="35" t="inlineStr">
        <is>
          <t>EV</t>
        </is>
      </c>
      <c r="C18" s="36">
        <f>SUMIF($B$3:$B$16,"EV",C3:C16)+SUMIF($B$3:$B$16,"Both",C3:C16)</f>
        <v/>
      </c>
      <c r="D18" s="36">
        <f>SUMIF($B$3:$B$16,"EV",D3:D16)+SUMIF($B$3:$B$16,"Both",D3:D16)</f>
        <v/>
      </c>
      <c r="E18" s="36">
        <f>SUMIF($B$3:$B$16,"EV",E3:E16)+SUMIF($B$3:$B$16,"Both",E3:E16)</f>
        <v/>
      </c>
      <c r="F18" s="36">
        <f>SUMIF($B$3:$B$16,"EV",F3:F16)+SUMIF($B$3:$B$16,"Both",F3:F16)</f>
        <v/>
      </c>
      <c r="G18" s="36">
        <f>SUMIF($B$3:$B$16,"EV",G3:G16)+SUMIF($B$3:$B$16,"Both",G3:G16)</f>
        <v/>
      </c>
      <c r="H18" s="36">
        <f>SUMIF($B$3:$B$16,"EV",H3:H16)+SUMIF($B$3:$B$16,"Both",H3:H16)</f>
        <v/>
      </c>
    </row>
    <row r="19">
      <c r="A19" s="35" t="inlineStr">
        <is>
          <t>TOTAL – Petrol</t>
        </is>
      </c>
      <c r="B19" s="35" t="inlineStr">
        <is>
          <t>Petrol</t>
        </is>
      </c>
      <c r="C19" s="37">
        <f>SUMIF($B$3:$B$16,"Petrol",C3:C16)+SUMIF($B$3:$B$16,"Both",C3:C16)</f>
        <v/>
      </c>
      <c r="D19" s="37">
        <f>SUMIF($B$3:$B$16,"Petrol",D3:D16)+SUMIF($B$3:$B$16,"Both",D3:D16)</f>
        <v/>
      </c>
      <c r="E19" s="37">
        <f>SUMIF($B$3:$B$16,"Petrol",E3:E16)+SUMIF($B$3:$B$16,"Both",E3:E16)</f>
        <v/>
      </c>
      <c r="F19" s="37">
        <f>SUMIF($B$3:$B$16,"Petrol",F3:F16)+SUMIF($B$3:$B$16,"Both",F3:F16)</f>
        <v/>
      </c>
      <c r="G19" s="37">
        <f>SUMIF($B$3:$B$16,"Petrol",G3:G16)+SUMIF($B$3:$B$16,"Both",G3:G16)</f>
        <v/>
      </c>
      <c r="H19" s="37">
        <f>SUMIF($B$3:$B$16,"Petrol",H3:H16)+SUMIF($B$3:$B$16,"Both",H3:H16)</f>
        <v/>
      </c>
    </row>
    <row r="20"/>
    <row r="21">
      <c r="A21" s="15" t="inlineStr">
        <is>
          <t>10-year maintenance (yrs 1–10)</t>
        </is>
      </c>
      <c r="C21" s="15" t="inlineStr">
        <is>
          <t>LOW</t>
        </is>
      </c>
      <c r="D21" s="15" t="inlineStr">
        <is>
          <t>MEDIUM</t>
        </is>
      </c>
      <c r="E21" s="15" t="inlineStr">
        <is>
          <t>HIGH</t>
        </is>
      </c>
    </row>
    <row r="22">
      <c r="A22" s="35" t="inlineStr">
        <is>
          <t>EV</t>
        </is>
      </c>
      <c r="C22" s="6">
        <f>C18+D18</f>
        <v/>
      </c>
      <c r="D22" s="6">
        <f>E18+F18</f>
        <v/>
      </c>
      <c r="E22" s="6">
        <f>G18+H18</f>
        <v/>
      </c>
    </row>
    <row r="23">
      <c r="A23" s="35" t="inlineStr">
        <is>
          <t>Petrol</t>
        </is>
      </c>
      <c r="C23" s="6">
        <f>C19+D19</f>
        <v/>
      </c>
      <c r="D23" s="6">
        <f>E19+F19</f>
        <v/>
      </c>
      <c r="E23" s="6">
        <f>G19+H19</f>
        <v/>
      </c>
    </row>
    <row r="24"/>
    <row r="25">
      <c r="A25" s="9" t="inlineStr">
        <is>
          <t>EV battery replacement is NOT in this sheet – see 'Battery (EV)' sheet. Unit costs and intervals are on the Inputs sheet (rows 39+).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30" customWidth="1" min="4" max="4"/>
    <col width="18" customWidth="1" min="5" max="5"/>
    <col width="14" customWidth="1" min="6" max="6"/>
    <col width="16" customWidth="1" min="7" max="7"/>
    <col width="14" customWidth="1" min="8" max="8"/>
    <col width="50" customWidth="1" min="9" max="9"/>
  </cols>
  <sheetData>
    <row r="1">
      <c r="A1" s="1" t="inlineStr">
        <is>
          <t>EV BATTERY – best case vs conservative case</t>
        </is>
      </c>
    </row>
    <row r="2" ht="42" customHeight="1">
      <c r="A2" s="2" t="inlineStr">
        <is>
          <t>EV</t>
        </is>
      </c>
      <c r="B2" s="2" t="inlineStr">
        <is>
          <t>Battery (kWh)</t>
        </is>
      </c>
      <c r="C2" s="2" t="inlineStr">
        <is>
          <t>Chemistry</t>
        </is>
      </c>
      <c r="D2" s="2" t="inlineStr">
        <is>
          <t>Warranty</t>
        </is>
      </c>
      <c r="E2" s="2" t="inlineStr">
        <is>
          <t>Replacement cost TODAY (est., ₹) = kWh × ₹/kWh</t>
        </is>
      </c>
      <c r="F2" s="2" t="inlineStr">
        <is>
          <t>Best case: replacement in 10 yrs (₹)</t>
        </is>
      </c>
      <c r="G2" s="2" t="inlineStr">
        <is>
          <t>Conservative: one replacement in 10 yrs (₹)</t>
        </is>
      </c>
      <c r="H2" s="2" t="inlineStr">
        <is>
          <t>Cycles needed in 10 yrs at MEDIUM use</t>
        </is>
      </c>
      <c r="I2" s="2" t="inlineStr">
        <is>
          <t>Note</t>
        </is>
      </c>
    </row>
    <row r="3">
      <c r="A3" s="3">
        <f>Shortlist!B2</f>
        <v/>
      </c>
      <c r="B3" s="4">
        <f>Shortlist!U2</f>
        <v/>
      </c>
      <c r="C3" s="10" t="inlineStr">
        <is>
          <t>Not confirmed †</t>
        </is>
      </c>
      <c r="D3" s="18" t="inlineStr">
        <is>
          <t>Battery 3 yr/50,000 km † – confirm</t>
        </is>
      </c>
      <c r="E3" s="6">
        <f>B3*Inputs!$B$11</f>
        <v/>
      </c>
      <c r="F3" s="34" t="n">
        <v>0</v>
      </c>
      <c r="G3" s="6">
        <f>E3</f>
        <v/>
      </c>
      <c r="H3" s="38">
        <f>ROUND(Inputs!$B$7*Inputs!$B$9*10/Shortlist!I2,0)</f>
        <v/>
      </c>
      <c r="I3" s="12" t="inlineStr">
        <is>
          <t>Fixed battery; Honda support depends on local EV service</t>
        </is>
      </c>
    </row>
    <row r="4">
      <c r="A4" s="3">
        <f>Shortlist!B3</f>
        <v/>
      </c>
      <c r="B4" s="4">
        <f>Shortlist!U3</f>
        <v/>
      </c>
      <c r="C4" s="10" t="inlineStr">
        <is>
          <t>LFP ✅</t>
        </is>
      </c>
      <c r="D4" s="18" t="inlineStr">
        <is>
          <t>Not confirmed</t>
        </is>
      </c>
      <c r="E4" s="6">
        <f>B4*Inputs!$B$11</f>
        <v/>
      </c>
      <c r="F4" s="34" t="n">
        <v>0</v>
      </c>
      <c r="G4" s="6">
        <f>E4</f>
        <v/>
      </c>
      <c r="H4" s="38">
        <f>ROUND(Inputs!$B$7*Inputs!$B$9*10/Shortlist!I3,0)</f>
        <v/>
      </c>
      <c r="I4" s="12" t="inlineStr">
        <is>
          <t>LFP lasts longer (often 2,000+ cycles)</t>
        </is>
      </c>
    </row>
    <row r="5">
      <c r="A5" s="3">
        <f>Shortlist!B4</f>
        <v/>
      </c>
      <c r="B5" s="4">
        <f>Shortlist!U4</f>
        <v/>
      </c>
      <c r="C5" s="10" t="inlineStr">
        <is>
          <t>Li-ion</t>
        </is>
      </c>
      <c r="D5" s="18" t="inlineStr">
        <is>
          <t>Not confirmed</t>
        </is>
      </c>
      <c r="E5" s="6">
        <f>B5*Inputs!$B$11</f>
        <v/>
      </c>
      <c r="F5" s="34" t="n">
        <v>0</v>
      </c>
      <c r="G5" s="6">
        <f>E5</f>
        <v/>
      </c>
      <c r="H5" s="38">
        <f>ROUND(Inputs!$B$7*Inputs!$B$9*10/Shortlist!I4,0)</f>
        <v/>
      </c>
      <c r="I5" s="12" t="inlineStr">
        <is>
          <t>Small brand – parts availability risk in future</t>
        </is>
      </c>
    </row>
    <row r="6">
      <c r="A6" s="3">
        <f>Shortlist!B5</f>
        <v/>
      </c>
      <c r="B6" s="4">
        <f>Shortlist!U5</f>
        <v/>
      </c>
      <c r="C6" s="10" t="inlineStr">
        <is>
          <t>Li-ion †</t>
        </is>
      </c>
      <c r="D6" s="18" t="inlineStr">
        <is>
          <t>TVS norm 3 yr/50,000 km †</t>
        </is>
      </c>
      <c r="E6" s="6">
        <f>B6*Inputs!$B$11</f>
        <v/>
      </c>
      <c r="F6" s="34" t="n">
        <v>0</v>
      </c>
      <c r="G6" s="6">
        <f>E6</f>
        <v/>
      </c>
      <c r="H6" s="38">
        <f>ROUND(Inputs!$B$7*Inputs!$B$9*10/Shortlist!I5,0)</f>
        <v/>
      </c>
      <c r="I6" s="12" t="inlineStr">
        <is>
          <t>TVS has offered extended battery warranties on iQube (5 yr/70k)</t>
        </is>
      </c>
    </row>
    <row r="7">
      <c r="A7" s="3">
        <f>Shortlist!B6</f>
        <v/>
      </c>
      <c r="B7" s="4">
        <f>Shortlist!U6</f>
        <v/>
      </c>
      <c r="C7" s="10" t="inlineStr">
        <is>
          <t>LFP ✅</t>
        </is>
      </c>
      <c r="D7" s="18" t="inlineStr">
        <is>
          <t>Not confirmed</t>
        </is>
      </c>
      <c r="E7" s="6">
        <f>B7*Inputs!$B$11</f>
        <v/>
      </c>
      <c r="F7" s="34" t="n">
        <v>0</v>
      </c>
      <c r="G7" s="6">
        <f>E7</f>
        <v/>
      </c>
      <c r="H7" s="38">
        <f>ROUND(Inputs!$B$7*Inputs!$B$9*10/Shortlist!I6,0)</f>
        <v/>
      </c>
      <c r="I7" s="12" t="inlineStr">
        <is>
          <t>LFP – long cycle life</t>
        </is>
      </c>
    </row>
    <row r="8"/>
    <row r="9"/>
    <row r="10">
      <c r="A10" s="15" t="inlineStr">
        <is>
          <t>What you should know (simple):</t>
        </is>
      </c>
    </row>
    <row r="11">
      <c r="A11" s="39" t="inlineStr">
        <is>
          <t>• Warranty: usually 3 years / 50,000 km; some brands sell extensions to 5 years / 70,000 km. Buy the extension if offered.</t>
        </is>
      </c>
    </row>
    <row r="12">
      <c r="A12" s="39" t="inlineStr">
        <is>
          <t>• Life: a battery does not 'die' on a date. It slowly loses capacity. Typical Li-ion: ~800–1,000 full cycles to ~70–80% health; LFP: often 2,000+ cycles.</t>
        </is>
      </c>
    </row>
    <row r="13">
      <c r="A13" s="39" t="inlineStr">
        <is>
          <t>• Example: at 30 km/day a 60 km-range scooter does ~1,800 full cycles in 10 years → likely below 70% by year 7–9 (Li-ion). An LFP pack may still be usable.</t>
        </is>
      </c>
    </row>
    <row r="14">
      <c r="A14" s="39" t="inlineStr">
        <is>
          <t>• What shortens life: heat (Thoothukudi summers), charging right after a hot ride, keeping at 100% for long, deep 0% discharges, fast charging.</t>
        </is>
      </c>
    </row>
    <row r="15">
      <c r="A15" s="39" t="inlineStr">
        <is>
          <t>• After 8–10 years: range may drop 25–40%. You can keep riding with less range, or replace the pack. Price today ~₹20,000/kWh – likely lower in future, but NOT guaranteed.</t>
        </is>
      </c>
    </row>
    <row r="16">
      <c r="A16" s="39" t="inlineStr">
        <is>
          <t>• Support: TVS, Honda, Ather, Bajaj sell replacement packs through dealers. Small brands (Kinetic Green, Ampere) – check that parts will be available for 10 years.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10-YEAR TOTAL COST OF OWNERSHIP (₹) – does NOT subtract resale value</t>
        </is>
      </c>
    </row>
    <row r="2" ht="42" customHeight="1">
      <c r="A2" s="2" t="inlineStr">
        <is>
          <t>Scooter</t>
        </is>
      </c>
      <c r="B2" s="2" t="inlineStr">
        <is>
          <t>Type</t>
        </is>
      </c>
      <c r="C2" s="2" t="inlineStr">
        <is>
          <t>Purchase (total money needed)</t>
        </is>
      </c>
      <c r="D2" s="2" t="inlineStr">
        <is>
          <t>LOW 20 km/day: Fuel/Electricity 10Y</t>
        </is>
      </c>
      <c r="E2" s="2" t="inlineStr">
        <is>
          <t>LOW 20 km/day: Maintenance 10Y</t>
        </is>
      </c>
      <c r="F2" s="2" t="inlineStr">
        <is>
          <t>LOW 20 km/day: Insurance yrs 2–10</t>
        </is>
      </c>
      <c r="G2" s="2" t="inlineStr">
        <is>
          <t>LOW 20 km/day: Battery (conservative)</t>
        </is>
      </c>
      <c r="H2" s="2" t="inlineStr">
        <is>
          <t>LOW 20 km/day: TOTAL best case</t>
        </is>
      </c>
      <c r="I2" s="2" t="inlineStr">
        <is>
          <t>LOW 20 km/day: TOTAL conservative</t>
        </is>
      </c>
      <c r="J2" s="2" t="inlineStr">
        <is>
          <t>MED 30 km/day: Fuel/Electricity 10Y</t>
        </is>
      </c>
      <c r="K2" s="2" t="inlineStr">
        <is>
          <t>MED 30 km/day: Maintenance 10Y</t>
        </is>
      </c>
      <c r="L2" s="2" t="inlineStr">
        <is>
          <t>MED 30 km/day: Insurance yrs 2–10</t>
        </is>
      </c>
      <c r="M2" s="2" t="inlineStr">
        <is>
          <t>MED 30 km/day: Battery (conservative)</t>
        </is>
      </c>
      <c r="N2" s="2" t="inlineStr">
        <is>
          <t>MED 30 km/day: TOTAL best case</t>
        </is>
      </c>
      <c r="O2" s="2" t="inlineStr">
        <is>
          <t>MED 30 km/day: TOTAL conservative</t>
        </is>
      </c>
      <c r="P2" s="2" t="inlineStr">
        <is>
          <t>HIGH 50 km/day: Fuel/Electricity 10Y</t>
        </is>
      </c>
      <c r="Q2" s="2" t="inlineStr">
        <is>
          <t>HIGH 50 km/day: Maintenance 10Y</t>
        </is>
      </c>
      <c r="R2" s="2" t="inlineStr">
        <is>
          <t>HIGH 50 km/day: Insurance yrs 2–10</t>
        </is>
      </c>
      <c r="S2" s="2" t="inlineStr">
        <is>
          <t>HIGH 50 km/day: Battery (conservative)</t>
        </is>
      </c>
      <c r="T2" s="2" t="inlineStr">
        <is>
          <t>HIGH 50 km/day: TOTAL best case</t>
        </is>
      </c>
      <c r="U2" s="2" t="inlineStr">
        <is>
          <t>HIGH 50 km/day: TOTAL conservative</t>
        </is>
      </c>
    </row>
    <row r="3">
      <c r="A3" s="3">
        <f>Shortlist!B2</f>
        <v/>
      </c>
      <c r="B3" s="4">
        <f>Shortlist!D2</f>
        <v/>
      </c>
      <c r="C3" s="5">
        <f>'Thoothukudi Price'!I3</f>
        <v/>
      </c>
      <c r="D3" s="5">
        <f>'Running Cost'!H3</f>
        <v/>
      </c>
      <c r="E3" s="5">
        <f>IF(B3="EV",'Maintenance 10Y'!$C$22,'Maintenance 10Y'!$C$23)</f>
        <v/>
      </c>
      <c r="F3" s="5">
        <f>'Insurance 10Y'!O3</f>
        <v/>
      </c>
      <c r="G3" s="5">
        <f>IF(B3="EV",INDEX('Battery (EV)'!$G$3:$G$7,1),0)</f>
        <v/>
      </c>
      <c r="H3" s="6">
        <f>$C3+D3+E3+F3</f>
        <v/>
      </c>
      <c r="I3" s="7">
        <f>H3+G3</f>
        <v/>
      </c>
      <c r="J3" s="5">
        <f>'Running Cost'!M3</f>
        <v/>
      </c>
      <c r="K3" s="5">
        <f>IF(B3="EV",'Maintenance 10Y'!$D$22,'Maintenance 10Y'!$D$23)</f>
        <v/>
      </c>
      <c r="L3" s="5">
        <f>'Insurance 10Y'!O3</f>
        <v/>
      </c>
      <c r="M3" s="5">
        <f>IF(B3="EV",INDEX('Battery (EV)'!$G$3:$G$7,1),0)</f>
        <v/>
      </c>
      <c r="N3" s="6">
        <f>$C3+J3+K3+L3</f>
        <v/>
      </c>
      <c r="O3" s="7">
        <f>N3+M3</f>
        <v/>
      </c>
      <c r="P3" s="5">
        <f>'Running Cost'!R3</f>
        <v/>
      </c>
      <c r="Q3" s="5">
        <f>IF(B3="EV",'Maintenance 10Y'!$E$22,'Maintenance 10Y'!$E$23)</f>
        <v/>
      </c>
      <c r="R3" s="5">
        <f>'Insurance 10Y'!O3</f>
        <v/>
      </c>
      <c r="S3" s="5">
        <f>IF(B3="EV",INDEX('Battery (EV)'!$G$3:$G$7,1),0)</f>
        <v/>
      </c>
      <c r="T3" s="6">
        <f>$C3+P3+Q3+R3</f>
        <v/>
      </c>
      <c r="U3" s="7">
        <f>T3+S3</f>
        <v/>
      </c>
    </row>
    <row r="4">
      <c r="A4" s="3">
        <f>Shortlist!B3</f>
        <v/>
      </c>
      <c r="B4" s="4">
        <f>Shortlist!D3</f>
        <v/>
      </c>
      <c r="C4" s="5">
        <f>'Thoothukudi Price'!I4</f>
        <v/>
      </c>
      <c r="D4" s="5">
        <f>'Running Cost'!H4</f>
        <v/>
      </c>
      <c r="E4" s="5">
        <f>IF(B4="EV",'Maintenance 10Y'!$C$22,'Maintenance 10Y'!$C$23)</f>
        <v/>
      </c>
      <c r="F4" s="5">
        <f>'Insurance 10Y'!O4</f>
        <v/>
      </c>
      <c r="G4" s="5">
        <f>IF(B4="EV",INDEX('Battery (EV)'!$G$3:$G$7,2),0)</f>
        <v/>
      </c>
      <c r="H4" s="6">
        <f>$C4+D4+E4+F4</f>
        <v/>
      </c>
      <c r="I4" s="7">
        <f>H4+G4</f>
        <v/>
      </c>
      <c r="J4" s="5">
        <f>'Running Cost'!M4</f>
        <v/>
      </c>
      <c r="K4" s="5">
        <f>IF(B4="EV",'Maintenance 10Y'!$D$22,'Maintenance 10Y'!$D$23)</f>
        <v/>
      </c>
      <c r="L4" s="5">
        <f>'Insurance 10Y'!O4</f>
        <v/>
      </c>
      <c r="M4" s="5">
        <f>IF(B4="EV",INDEX('Battery (EV)'!$G$3:$G$7,2),0)</f>
        <v/>
      </c>
      <c r="N4" s="6">
        <f>$C4+J4+K4+L4</f>
        <v/>
      </c>
      <c r="O4" s="7">
        <f>N4+M4</f>
        <v/>
      </c>
      <c r="P4" s="5">
        <f>'Running Cost'!R4</f>
        <v/>
      </c>
      <c r="Q4" s="5">
        <f>IF(B4="EV",'Maintenance 10Y'!$E$22,'Maintenance 10Y'!$E$23)</f>
        <v/>
      </c>
      <c r="R4" s="5">
        <f>'Insurance 10Y'!O4</f>
        <v/>
      </c>
      <c r="S4" s="5">
        <f>IF(B4="EV",INDEX('Battery (EV)'!$G$3:$G$7,2),0)</f>
        <v/>
      </c>
      <c r="T4" s="6">
        <f>$C4+P4+Q4+R4</f>
        <v/>
      </c>
      <c r="U4" s="7">
        <f>T4+S4</f>
        <v/>
      </c>
    </row>
    <row r="5">
      <c r="A5" s="3">
        <f>Shortlist!B4</f>
        <v/>
      </c>
      <c r="B5" s="4">
        <f>Shortlist!D4</f>
        <v/>
      </c>
      <c r="C5" s="5">
        <f>'Thoothukudi Price'!I5</f>
        <v/>
      </c>
      <c r="D5" s="5">
        <f>'Running Cost'!H5</f>
        <v/>
      </c>
      <c r="E5" s="5">
        <f>IF(B5="EV",'Maintenance 10Y'!$C$22,'Maintenance 10Y'!$C$23)</f>
        <v/>
      </c>
      <c r="F5" s="5">
        <f>'Insurance 10Y'!O5</f>
        <v/>
      </c>
      <c r="G5" s="5">
        <f>IF(B5="EV",INDEX('Battery (EV)'!$G$3:$G$7,3),0)</f>
        <v/>
      </c>
      <c r="H5" s="6">
        <f>$C5+D5+E5+F5</f>
        <v/>
      </c>
      <c r="I5" s="7">
        <f>H5+G5</f>
        <v/>
      </c>
      <c r="J5" s="5">
        <f>'Running Cost'!M5</f>
        <v/>
      </c>
      <c r="K5" s="5">
        <f>IF(B5="EV",'Maintenance 10Y'!$D$22,'Maintenance 10Y'!$D$23)</f>
        <v/>
      </c>
      <c r="L5" s="5">
        <f>'Insurance 10Y'!O5</f>
        <v/>
      </c>
      <c r="M5" s="5">
        <f>IF(B5="EV",INDEX('Battery (EV)'!$G$3:$G$7,3),0)</f>
        <v/>
      </c>
      <c r="N5" s="6">
        <f>$C5+J5+K5+L5</f>
        <v/>
      </c>
      <c r="O5" s="7">
        <f>N5+M5</f>
        <v/>
      </c>
      <c r="P5" s="5">
        <f>'Running Cost'!R5</f>
        <v/>
      </c>
      <c r="Q5" s="5">
        <f>IF(B5="EV",'Maintenance 10Y'!$E$22,'Maintenance 10Y'!$E$23)</f>
        <v/>
      </c>
      <c r="R5" s="5">
        <f>'Insurance 10Y'!O5</f>
        <v/>
      </c>
      <c r="S5" s="5">
        <f>IF(B5="EV",INDEX('Battery (EV)'!$G$3:$G$7,3),0)</f>
        <v/>
      </c>
      <c r="T5" s="6">
        <f>$C5+P5+Q5+R5</f>
        <v/>
      </c>
      <c r="U5" s="7">
        <f>T5+S5</f>
        <v/>
      </c>
    </row>
    <row r="6">
      <c r="A6" s="3">
        <f>Shortlist!B5</f>
        <v/>
      </c>
      <c r="B6" s="4">
        <f>Shortlist!D5</f>
        <v/>
      </c>
      <c r="C6" s="5">
        <f>'Thoothukudi Price'!I6</f>
        <v/>
      </c>
      <c r="D6" s="5">
        <f>'Running Cost'!H6</f>
        <v/>
      </c>
      <c r="E6" s="5">
        <f>IF(B6="EV",'Maintenance 10Y'!$C$22,'Maintenance 10Y'!$C$23)</f>
        <v/>
      </c>
      <c r="F6" s="5">
        <f>'Insurance 10Y'!O6</f>
        <v/>
      </c>
      <c r="G6" s="5">
        <f>IF(B6="EV",INDEX('Battery (EV)'!$G$3:$G$7,4),0)</f>
        <v/>
      </c>
      <c r="H6" s="6">
        <f>$C6+D6+E6+F6</f>
        <v/>
      </c>
      <c r="I6" s="7">
        <f>H6+G6</f>
        <v/>
      </c>
      <c r="J6" s="5">
        <f>'Running Cost'!M6</f>
        <v/>
      </c>
      <c r="K6" s="5">
        <f>IF(B6="EV",'Maintenance 10Y'!$D$22,'Maintenance 10Y'!$D$23)</f>
        <v/>
      </c>
      <c r="L6" s="5">
        <f>'Insurance 10Y'!O6</f>
        <v/>
      </c>
      <c r="M6" s="5">
        <f>IF(B6="EV",INDEX('Battery (EV)'!$G$3:$G$7,4),0)</f>
        <v/>
      </c>
      <c r="N6" s="6">
        <f>$C6+J6+K6+L6</f>
        <v/>
      </c>
      <c r="O6" s="7">
        <f>N6+M6</f>
        <v/>
      </c>
      <c r="P6" s="5">
        <f>'Running Cost'!R6</f>
        <v/>
      </c>
      <c r="Q6" s="5">
        <f>IF(B6="EV",'Maintenance 10Y'!$E$22,'Maintenance 10Y'!$E$23)</f>
        <v/>
      </c>
      <c r="R6" s="5">
        <f>'Insurance 10Y'!O6</f>
        <v/>
      </c>
      <c r="S6" s="5">
        <f>IF(B6="EV",INDEX('Battery (EV)'!$G$3:$G$7,4),0)</f>
        <v/>
      </c>
      <c r="T6" s="6">
        <f>$C6+P6+Q6+R6</f>
        <v/>
      </c>
      <c r="U6" s="7">
        <f>T6+S6</f>
        <v/>
      </c>
    </row>
    <row r="7">
      <c r="A7" s="3">
        <f>Shortlist!B6</f>
        <v/>
      </c>
      <c r="B7" s="4">
        <f>Shortlist!D6</f>
        <v/>
      </c>
      <c r="C7" s="5">
        <f>'Thoothukudi Price'!I7</f>
        <v/>
      </c>
      <c r="D7" s="5">
        <f>'Running Cost'!H7</f>
        <v/>
      </c>
      <c r="E7" s="5">
        <f>IF(B7="EV",'Maintenance 10Y'!$C$22,'Maintenance 10Y'!$C$23)</f>
        <v/>
      </c>
      <c r="F7" s="5">
        <f>'Insurance 10Y'!O7</f>
        <v/>
      </c>
      <c r="G7" s="5">
        <f>IF(B7="EV",INDEX('Battery (EV)'!$G$3:$G$7,5),0)</f>
        <v/>
      </c>
      <c r="H7" s="6">
        <f>$C7+D7+E7+F7</f>
        <v/>
      </c>
      <c r="I7" s="7">
        <f>H7+G7</f>
        <v/>
      </c>
      <c r="J7" s="5">
        <f>'Running Cost'!M7</f>
        <v/>
      </c>
      <c r="K7" s="5">
        <f>IF(B7="EV",'Maintenance 10Y'!$D$22,'Maintenance 10Y'!$D$23)</f>
        <v/>
      </c>
      <c r="L7" s="5">
        <f>'Insurance 10Y'!O7</f>
        <v/>
      </c>
      <c r="M7" s="5">
        <f>IF(B7="EV",INDEX('Battery (EV)'!$G$3:$G$7,5),0)</f>
        <v/>
      </c>
      <c r="N7" s="6">
        <f>$C7+J7+K7+L7</f>
        <v/>
      </c>
      <c r="O7" s="7">
        <f>N7+M7</f>
        <v/>
      </c>
      <c r="P7" s="5">
        <f>'Running Cost'!R7</f>
        <v/>
      </c>
      <c r="Q7" s="5">
        <f>IF(B7="EV",'Maintenance 10Y'!$E$22,'Maintenance 10Y'!$E$23)</f>
        <v/>
      </c>
      <c r="R7" s="5">
        <f>'Insurance 10Y'!O7</f>
        <v/>
      </c>
      <c r="S7" s="5">
        <f>IF(B7="EV",INDEX('Battery (EV)'!$G$3:$G$7,5),0)</f>
        <v/>
      </c>
      <c r="T7" s="6">
        <f>$C7+P7+Q7+R7</f>
        <v/>
      </c>
      <c r="U7" s="7">
        <f>T7+S7</f>
        <v/>
      </c>
    </row>
    <row r="8">
      <c r="A8" s="3">
        <f>Shortlist!B7</f>
        <v/>
      </c>
      <c r="B8" s="4">
        <f>Shortlist!D7</f>
        <v/>
      </c>
      <c r="C8" s="5">
        <f>'Thoothukudi Price'!I8</f>
        <v/>
      </c>
      <c r="D8" s="5">
        <f>'Running Cost'!H8</f>
        <v/>
      </c>
      <c r="E8" s="5">
        <f>IF(B8="EV",'Maintenance 10Y'!$C$22,'Maintenance 10Y'!$C$23)</f>
        <v/>
      </c>
      <c r="F8" s="5">
        <f>'Insurance 10Y'!O8</f>
        <v/>
      </c>
      <c r="G8" s="5">
        <f>0</f>
        <v/>
      </c>
      <c r="H8" s="6">
        <f>$C8+D8+E8+F8</f>
        <v/>
      </c>
      <c r="I8" s="7">
        <f>H8+G8</f>
        <v/>
      </c>
      <c r="J8" s="5">
        <f>'Running Cost'!M8</f>
        <v/>
      </c>
      <c r="K8" s="5">
        <f>IF(B8="EV",'Maintenance 10Y'!$D$22,'Maintenance 10Y'!$D$23)</f>
        <v/>
      </c>
      <c r="L8" s="5">
        <f>'Insurance 10Y'!O8</f>
        <v/>
      </c>
      <c r="M8" s="5">
        <f>0</f>
        <v/>
      </c>
      <c r="N8" s="6">
        <f>$C8+J8+K8+L8</f>
        <v/>
      </c>
      <c r="O8" s="7">
        <f>N8+M8</f>
        <v/>
      </c>
      <c r="P8" s="5">
        <f>'Running Cost'!R8</f>
        <v/>
      </c>
      <c r="Q8" s="5">
        <f>IF(B8="EV",'Maintenance 10Y'!$E$22,'Maintenance 10Y'!$E$23)</f>
        <v/>
      </c>
      <c r="R8" s="5">
        <f>'Insurance 10Y'!O8</f>
        <v/>
      </c>
      <c r="S8" s="5">
        <f>0</f>
        <v/>
      </c>
      <c r="T8" s="6">
        <f>$C8+P8+Q8+R8</f>
        <v/>
      </c>
      <c r="U8" s="7">
        <f>T8+S8</f>
        <v/>
      </c>
    </row>
    <row r="9">
      <c r="A9" s="3">
        <f>Shortlist!B8</f>
        <v/>
      </c>
      <c r="B9" s="4">
        <f>Shortlist!D8</f>
        <v/>
      </c>
      <c r="C9" s="5">
        <f>'Thoothukudi Price'!I9</f>
        <v/>
      </c>
      <c r="D9" s="5">
        <f>'Running Cost'!H9</f>
        <v/>
      </c>
      <c r="E9" s="5">
        <f>IF(B9="EV",'Maintenance 10Y'!$C$22,'Maintenance 10Y'!$C$23)</f>
        <v/>
      </c>
      <c r="F9" s="5">
        <f>'Insurance 10Y'!O9</f>
        <v/>
      </c>
      <c r="G9" s="5">
        <f>0</f>
        <v/>
      </c>
      <c r="H9" s="6">
        <f>$C9+D9+E9+F9</f>
        <v/>
      </c>
      <c r="I9" s="7">
        <f>H9+G9</f>
        <v/>
      </c>
      <c r="J9" s="5">
        <f>'Running Cost'!M9</f>
        <v/>
      </c>
      <c r="K9" s="5">
        <f>IF(B9="EV",'Maintenance 10Y'!$D$22,'Maintenance 10Y'!$D$23)</f>
        <v/>
      </c>
      <c r="L9" s="5">
        <f>'Insurance 10Y'!O9</f>
        <v/>
      </c>
      <c r="M9" s="5">
        <f>0</f>
        <v/>
      </c>
      <c r="N9" s="6">
        <f>$C9+J9+K9+L9</f>
        <v/>
      </c>
      <c r="O9" s="7">
        <f>N9+M9</f>
        <v/>
      </c>
      <c r="P9" s="5">
        <f>'Running Cost'!R9</f>
        <v/>
      </c>
      <c r="Q9" s="5">
        <f>IF(B9="EV",'Maintenance 10Y'!$E$22,'Maintenance 10Y'!$E$23)</f>
        <v/>
      </c>
      <c r="R9" s="5">
        <f>'Insurance 10Y'!O9</f>
        <v/>
      </c>
      <c r="S9" s="5">
        <f>0</f>
        <v/>
      </c>
      <c r="T9" s="6">
        <f>$C9+P9+Q9+R9</f>
        <v/>
      </c>
      <c r="U9" s="7">
        <f>T9+S9</f>
        <v/>
      </c>
    </row>
    <row r="10">
      <c r="A10" s="3">
        <f>Shortlist!B9</f>
        <v/>
      </c>
      <c r="B10" s="4">
        <f>Shortlist!D9</f>
        <v/>
      </c>
      <c r="C10" s="5">
        <f>'Thoothukudi Price'!I10</f>
        <v/>
      </c>
      <c r="D10" s="5">
        <f>'Running Cost'!H10</f>
        <v/>
      </c>
      <c r="E10" s="5">
        <f>IF(B10="EV",'Maintenance 10Y'!$C$22,'Maintenance 10Y'!$C$23)</f>
        <v/>
      </c>
      <c r="F10" s="5">
        <f>'Insurance 10Y'!O10</f>
        <v/>
      </c>
      <c r="G10" s="5">
        <f>0</f>
        <v/>
      </c>
      <c r="H10" s="6">
        <f>$C10+D10+E10+F10</f>
        <v/>
      </c>
      <c r="I10" s="7">
        <f>H10+G10</f>
        <v/>
      </c>
      <c r="J10" s="5">
        <f>'Running Cost'!M10</f>
        <v/>
      </c>
      <c r="K10" s="5">
        <f>IF(B10="EV",'Maintenance 10Y'!$D$22,'Maintenance 10Y'!$D$23)</f>
        <v/>
      </c>
      <c r="L10" s="5">
        <f>'Insurance 10Y'!O10</f>
        <v/>
      </c>
      <c r="M10" s="5">
        <f>0</f>
        <v/>
      </c>
      <c r="N10" s="6">
        <f>$C10+J10+K10+L10</f>
        <v/>
      </c>
      <c r="O10" s="7">
        <f>N10+M10</f>
        <v/>
      </c>
      <c r="P10" s="5">
        <f>'Running Cost'!R10</f>
        <v/>
      </c>
      <c r="Q10" s="5">
        <f>IF(B10="EV",'Maintenance 10Y'!$E$22,'Maintenance 10Y'!$E$23)</f>
        <v/>
      </c>
      <c r="R10" s="5">
        <f>'Insurance 10Y'!O10</f>
        <v/>
      </c>
      <c r="S10" s="5">
        <f>0</f>
        <v/>
      </c>
      <c r="T10" s="6">
        <f>$C10+P10+Q10+R10</f>
        <v/>
      </c>
      <c r="U10" s="7">
        <f>T10+S10</f>
        <v/>
      </c>
    </row>
    <row r="11">
      <c r="A11" s="3">
        <f>Shortlist!B10</f>
        <v/>
      </c>
      <c r="B11" s="4">
        <f>Shortlist!D10</f>
        <v/>
      </c>
      <c r="C11" s="5">
        <f>'Thoothukudi Price'!I11</f>
        <v/>
      </c>
      <c r="D11" s="5">
        <f>'Running Cost'!H11</f>
        <v/>
      </c>
      <c r="E11" s="5">
        <f>IF(B11="EV",'Maintenance 10Y'!$C$22,'Maintenance 10Y'!$C$23)</f>
        <v/>
      </c>
      <c r="F11" s="5">
        <f>'Insurance 10Y'!O11</f>
        <v/>
      </c>
      <c r="G11" s="5">
        <f>0</f>
        <v/>
      </c>
      <c r="H11" s="6">
        <f>$C11+D11+E11+F11</f>
        <v/>
      </c>
      <c r="I11" s="7">
        <f>H11+G11</f>
        <v/>
      </c>
      <c r="J11" s="5">
        <f>'Running Cost'!M11</f>
        <v/>
      </c>
      <c r="K11" s="5">
        <f>IF(B11="EV",'Maintenance 10Y'!$D$22,'Maintenance 10Y'!$D$23)</f>
        <v/>
      </c>
      <c r="L11" s="5">
        <f>'Insurance 10Y'!O11</f>
        <v/>
      </c>
      <c r="M11" s="5">
        <f>0</f>
        <v/>
      </c>
      <c r="N11" s="6">
        <f>$C11+J11+K11+L11</f>
        <v/>
      </c>
      <c r="O11" s="7">
        <f>N11+M11</f>
        <v/>
      </c>
      <c r="P11" s="5">
        <f>'Running Cost'!R11</f>
        <v/>
      </c>
      <c r="Q11" s="5">
        <f>IF(B11="EV",'Maintenance 10Y'!$E$22,'Maintenance 10Y'!$E$23)</f>
        <v/>
      </c>
      <c r="R11" s="5">
        <f>'Insurance 10Y'!O11</f>
        <v/>
      </c>
      <c r="S11" s="5">
        <f>0</f>
        <v/>
      </c>
      <c r="T11" s="6">
        <f>$C11+P11+Q11+R11</f>
        <v/>
      </c>
      <c r="U11" s="7">
        <f>T11+S11</f>
        <v/>
      </c>
    </row>
    <row r="12">
      <c r="A12" s="3">
        <f>Shortlist!B11</f>
        <v/>
      </c>
      <c r="B12" s="4">
        <f>Shortlist!D11</f>
        <v/>
      </c>
      <c r="C12" s="5">
        <f>'Thoothukudi Price'!I12</f>
        <v/>
      </c>
      <c r="D12" s="5">
        <f>'Running Cost'!H12</f>
        <v/>
      </c>
      <c r="E12" s="5">
        <f>IF(B12="EV",'Maintenance 10Y'!$C$22,'Maintenance 10Y'!$C$23)</f>
        <v/>
      </c>
      <c r="F12" s="5">
        <f>'Insurance 10Y'!O12</f>
        <v/>
      </c>
      <c r="G12" s="5">
        <f>0</f>
        <v/>
      </c>
      <c r="H12" s="6">
        <f>$C12+D12+E12+F12</f>
        <v/>
      </c>
      <c r="I12" s="7">
        <f>H12+G12</f>
        <v/>
      </c>
      <c r="J12" s="5">
        <f>'Running Cost'!M12</f>
        <v/>
      </c>
      <c r="K12" s="5">
        <f>IF(B12="EV",'Maintenance 10Y'!$D$22,'Maintenance 10Y'!$D$23)</f>
        <v/>
      </c>
      <c r="L12" s="5">
        <f>'Insurance 10Y'!O12</f>
        <v/>
      </c>
      <c r="M12" s="5">
        <f>0</f>
        <v/>
      </c>
      <c r="N12" s="6">
        <f>$C12+J12+K12+L12</f>
        <v/>
      </c>
      <c r="O12" s="7">
        <f>N12+M12</f>
        <v/>
      </c>
      <c r="P12" s="5">
        <f>'Running Cost'!R12</f>
        <v/>
      </c>
      <c r="Q12" s="5">
        <f>IF(B12="EV",'Maintenance 10Y'!$E$22,'Maintenance 10Y'!$E$23)</f>
        <v/>
      </c>
      <c r="R12" s="5">
        <f>'Insurance 10Y'!O12</f>
        <v/>
      </c>
      <c r="S12" s="5">
        <f>0</f>
        <v/>
      </c>
      <c r="T12" s="6">
        <f>$C12+P12+Q12+R12</f>
        <v/>
      </c>
      <c r="U12" s="7">
        <f>T12+S12</f>
        <v/>
      </c>
    </row>
    <row r="13"/>
    <row r="14">
      <c r="A14" s="9" t="inlineStr">
        <is>
          <t>Best case = no EV battery replacement in 10 years. Conservative = one full replacement at today's estimated price. Petrol rows are the same in both cases.</t>
        </is>
      </c>
    </row>
    <row r="15">
      <c r="A15" s="9" t="inlineStr">
        <is>
          <t>Resale after 10 years (not included): petrol ~₹15–25k; EV highly uncertain (battery health).</t>
        </is>
      </c>
    </row>
  </sheetData>
  <conditionalFormatting sqref="H3:H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1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3:N1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3:O12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T3:T12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3:U12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1" customWidth="1" min="3" max="3"/>
    <col width="10" customWidth="1" min="4" max="4"/>
    <col width="14" customWidth="1" min="5" max="5"/>
    <col width="12" customWidth="1" min="6" max="6"/>
    <col width="60" customWidth="1" min="7" max="7"/>
  </cols>
  <sheetData>
    <row r="1" ht="42" customHeight="1">
      <c r="A1" s="2" t="inlineStr">
        <is>
          <t>Scooter</t>
        </is>
      </c>
      <c r="B1" s="2" t="inlineStr">
        <is>
          <t>EV/Petrol</t>
        </is>
      </c>
      <c r="C1" s="2" t="inlineStr">
        <is>
          <t>In old table?</t>
        </is>
      </c>
      <c r="D1" s="2" t="inlineStr">
        <is>
          <t>Weight (kg)</t>
        </is>
      </c>
      <c r="E1" s="2" t="inlineStr">
        <is>
          <t>Within 85–95 kg?</t>
        </is>
      </c>
      <c r="F1" s="2" t="inlineStr">
        <is>
          <t>Keep/Remove</t>
        </is>
      </c>
      <c r="G1" s="2" t="inlineStr">
        <is>
          <t>Reason</t>
        </is>
      </c>
    </row>
    <row r="2">
      <c r="A2" s="35" t="inlineStr">
        <is>
          <t>Honda Activa 110</t>
        </is>
      </c>
      <c r="B2" s="10" t="inlineStr">
        <is>
          <t>Petrol</t>
        </is>
      </c>
      <c r="C2" s="10" t="inlineStr">
        <is>
          <t>Yes</t>
        </is>
      </c>
      <c r="D2" s="20" t="n">
        <v>105</v>
      </c>
      <c r="E2" s="16">
        <f>IF(AND(D2&gt;=Inputs!$B$18,D2&lt;=Inputs!$B$19),"YES","No ("&amp;TEXT(D2-Inputs!$B$19,"+0.0")&amp;" kg)")</f>
        <v/>
      </c>
      <c r="F2" s="40" t="inlineStr">
        <is>
          <t>Remove</t>
        </is>
      </c>
      <c r="G2" s="18" t="inlineStr">
        <is>
          <t>10 kg over; as heavy as your Pleasure</t>
        </is>
      </c>
    </row>
    <row r="3">
      <c r="A3" s="35" t="inlineStr">
        <is>
          <t>TVS iQube 2.2 kWh</t>
        </is>
      </c>
      <c r="B3" s="10" t="inlineStr">
        <is>
          <t>EV</t>
        </is>
      </c>
      <c r="C3" s="10" t="inlineStr">
        <is>
          <t>Yes</t>
        </is>
      </c>
      <c r="D3" s="20" t="n">
        <v>110</v>
      </c>
      <c r="E3" s="16">
        <f>IF(AND(D3&gt;=Inputs!$B$18,D3&lt;=Inputs!$B$19),"YES","No ("&amp;TEXT(D3-Inputs!$B$19,"+0.0")&amp;" kg)")</f>
        <v/>
      </c>
      <c r="F3" s="40" t="inlineStr">
        <is>
          <t>Remove</t>
        </is>
      </c>
      <c r="G3" s="18" t="inlineStr">
        <is>
          <t>15 kg over</t>
        </is>
      </c>
    </row>
    <row r="4">
      <c r="A4" s="35" t="inlineStr">
        <is>
          <t>TVS Jupiter 110</t>
        </is>
      </c>
      <c r="B4" s="10" t="inlineStr">
        <is>
          <t>Petrol</t>
        </is>
      </c>
      <c r="C4" s="10" t="inlineStr">
        <is>
          <t>Yes</t>
        </is>
      </c>
      <c r="D4" s="20" t="n">
        <v>105</v>
      </c>
      <c r="E4" s="16">
        <f>IF(AND(D4&gt;=Inputs!$B$18,D4&lt;=Inputs!$B$19),"YES","No ("&amp;TEXT(D4-Inputs!$B$19,"+0.0")&amp;" kg)")</f>
        <v/>
      </c>
      <c r="F4" s="40" t="inlineStr">
        <is>
          <t>Remove</t>
        </is>
      </c>
      <c r="G4" s="18" t="inlineStr">
        <is>
          <t>10 kg over</t>
        </is>
      </c>
    </row>
    <row r="5">
      <c r="A5" s="35" t="inlineStr">
        <is>
          <t>Bajaj Chetak C25</t>
        </is>
      </c>
      <c r="B5" s="10" t="inlineStr">
        <is>
          <t>EV</t>
        </is>
      </c>
      <c r="C5" s="10" t="inlineStr">
        <is>
          <t>Yes</t>
        </is>
      </c>
      <c r="D5" s="20" t="n">
        <v>108</v>
      </c>
      <c r="E5" s="16">
        <f>IF(AND(D5&gt;=Inputs!$B$18,D5&lt;=Inputs!$B$19),"YES","No ("&amp;TEXT(D5-Inputs!$B$19,"+0.0")&amp;" kg)")</f>
        <v/>
      </c>
      <c r="F5" s="40" t="inlineStr">
        <is>
          <t>Remove</t>
        </is>
      </c>
      <c r="G5" s="18" t="inlineStr">
        <is>
          <t>13 kg over</t>
        </is>
      </c>
    </row>
    <row r="6">
      <c r="A6" s="35" t="inlineStr">
        <is>
          <t>Hero Pleasure+ XTEC</t>
        </is>
      </c>
      <c r="B6" s="10" t="inlineStr">
        <is>
          <t>Petrol</t>
        </is>
      </c>
      <c r="C6" s="10" t="inlineStr">
        <is>
          <t>Yes</t>
        </is>
      </c>
      <c r="D6" s="20" t="n">
        <v>104</v>
      </c>
      <c r="E6" s="16">
        <f>IF(AND(D6&gt;=Inputs!$B$18,D6&lt;=Inputs!$B$19),"YES","No ("&amp;TEXT(D6-Inputs!$B$19,"+0.0")&amp;" kg)")</f>
        <v/>
      </c>
      <c r="F6" s="40" t="inlineStr">
        <is>
          <t>Remove</t>
        </is>
      </c>
      <c r="G6" s="18" t="inlineStr">
        <is>
          <t>Same weight as your current Pleasure – no gain</t>
        </is>
      </c>
    </row>
    <row r="7">
      <c r="A7" s="35" t="inlineStr">
        <is>
          <t>TVS Orbiter V1</t>
        </is>
      </c>
      <c r="B7" s="10" t="inlineStr">
        <is>
          <t>EV</t>
        </is>
      </c>
      <c r="C7" s="10" t="inlineStr">
        <is>
          <t>Yes</t>
        </is>
      </c>
      <c r="D7" s="20" t="n">
        <v>101</v>
      </c>
      <c r="E7" s="16">
        <f>IF(AND(D7&gt;=Inputs!$B$18,D7&lt;=Inputs!$B$19),"YES","No ("&amp;TEXT(D7-Inputs!$B$19,"+0.0")&amp;" kg)")</f>
        <v/>
      </c>
      <c r="F7" s="41" t="inlineStr">
        <is>
          <t>Keep (closest alternative)</t>
        </is>
      </c>
      <c r="G7" s="18" t="inlineStr">
        <is>
          <t>6 kg over, but lightest EV with strong local TVS support</t>
        </is>
      </c>
    </row>
    <row r="8">
      <c r="A8" s="35" t="inlineStr">
        <is>
          <t>Ather Rizta S</t>
        </is>
      </c>
      <c r="B8" s="10" t="inlineStr">
        <is>
          <t>EV</t>
        </is>
      </c>
      <c r="C8" s="10" t="inlineStr">
        <is>
          <t>Yes</t>
        </is>
      </c>
      <c r="D8" s="20" t="n">
        <v>119</v>
      </c>
      <c r="E8" s="16">
        <f>IF(AND(D8&gt;=Inputs!$B$18,D8&lt;=Inputs!$B$19),"YES","No ("&amp;TEXT(D8-Inputs!$B$19,"+0.0")&amp;" kg)")</f>
        <v/>
      </c>
      <c r="F8" s="40" t="inlineStr">
        <is>
          <t>Remove</t>
        </is>
      </c>
      <c r="G8" s="18" t="inlineStr">
        <is>
          <t>24 kg over – heaviest</t>
        </is>
      </c>
    </row>
    <row r="9">
      <c r="A9" s="35" t="inlineStr">
        <is>
          <t>Suzuki Access 125</t>
        </is>
      </c>
      <c r="B9" s="10" t="inlineStr">
        <is>
          <t>Petrol</t>
        </is>
      </c>
      <c r="C9" s="10" t="inlineStr">
        <is>
          <t>Yes</t>
        </is>
      </c>
      <c r="D9" s="20" t="n">
        <v>103</v>
      </c>
      <c r="E9" s="16">
        <f>IF(AND(D9&gt;=Inputs!$B$18,D9&lt;=Inputs!$B$19),"YES","No ("&amp;TEXT(D9-Inputs!$B$19,"+0.0")&amp;" kg)")</f>
        <v/>
      </c>
      <c r="F9" s="40" t="inlineStr">
        <is>
          <t>Remove</t>
        </is>
      </c>
      <c r="G9" s="18" t="inlineStr">
        <is>
          <t>8 kg over; Zest/Dio are same weight and cheaper</t>
        </is>
      </c>
    </row>
    <row r="10">
      <c r="A10" s="35" t="inlineStr">
        <is>
          <t>Yamaha Fascino 125</t>
        </is>
      </c>
      <c r="B10" s="10" t="inlineStr">
        <is>
          <t>Petrol</t>
        </is>
      </c>
      <c r="C10" s="10" t="inlineStr">
        <is>
          <t>Yes</t>
        </is>
      </c>
      <c r="D10" s="20" t="n">
        <v>99</v>
      </c>
      <c r="E10" s="16">
        <f>IF(AND(D10&gt;=Inputs!$B$18,D10&lt;=Inputs!$B$19),"YES","No ("&amp;TEXT(D10-Inputs!$B$19,"+0.0")&amp;" kg)")</f>
        <v/>
      </c>
      <c r="F10" s="41" t="inlineStr">
        <is>
          <t>Keep (closest alternative)</t>
        </is>
      </c>
      <c r="G10" s="18" t="inlineStr">
        <is>
          <t>Lightest petrol scooter on sale; only 4 kg over</t>
        </is>
      </c>
    </row>
    <row r="11">
      <c r="A11" s="35" t="inlineStr">
        <is>
          <t>Hero Vida VX2 Go</t>
        </is>
      </c>
      <c r="B11" s="10" t="inlineStr">
        <is>
          <t>EV</t>
        </is>
      </c>
      <c r="C11" s="10" t="inlineStr">
        <is>
          <t>Yes</t>
        </is>
      </c>
      <c r="D11" s="20" t="n">
        <v>115</v>
      </c>
      <c r="E11" s="16">
        <f>IF(AND(D11&gt;=Inputs!$B$18,D11&lt;=Inputs!$B$19),"YES","No ("&amp;TEXT(D11-Inputs!$B$19,"+0.0")&amp;" kg)")</f>
        <v/>
      </c>
      <c r="F11" s="40" t="inlineStr">
        <is>
          <t>Remove</t>
        </is>
      </c>
      <c r="G11" s="18" t="inlineStr">
        <is>
          <t>20 kg over; Vida dealer not confirmed</t>
        </is>
      </c>
    </row>
    <row r="12">
      <c r="A12" s="35" t="inlineStr">
        <is>
          <t>Honda QC1</t>
        </is>
      </c>
      <c r="B12" s="10" t="inlineStr">
        <is>
          <t>EV</t>
        </is>
      </c>
      <c r="C12" s="10" t="inlineStr">
        <is>
          <t>No – NEW</t>
        </is>
      </c>
      <c r="D12" s="20" t="n">
        <v>89.5</v>
      </c>
      <c r="E12" s="16">
        <f>IF(AND(D12&gt;=Inputs!$B$18,D12&lt;=Inputs!$B$19),"YES","No ("&amp;TEXT(D12-Inputs!$B$19,"+0.0")&amp;" kg)")</f>
        <v/>
      </c>
      <c r="F12" s="41" t="inlineStr">
        <is>
          <t>Add</t>
        </is>
      </c>
      <c r="G12" s="18" t="inlineStr">
        <is>
          <t>Within range – lightest real EV scooter</t>
        </is>
      </c>
    </row>
    <row r="13">
      <c r="A13" s="35" t="inlineStr">
        <is>
          <t>Kinetic DX</t>
        </is>
      </c>
      <c r="B13" s="10" t="inlineStr">
        <is>
          <t>EV</t>
        </is>
      </c>
      <c r="C13" s="10" t="inlineStr">
        <is>
          <t>No – NEW</t>
        </is>
      </c>
      <c r="D13" s="20" t="n">
        <v>90</v>
      </c>
      <c r="E13" s="16">
        <f>IF(AND(D13&gt;=Inputs!$B$18,D13&lt;=Inputs!$B$19),"YES","No ("&amp;TEXT(D13-Inputs!$B$19,"+0.0")&amp;" kg)")</f>
        <v/>
      </c>
      <c r="F13" s="41" t="inlineStr">
        <is>
          <t>Add</t>
        </is>
      </c>
      <c r="G13" s="18" t="inlineStr">
        <is>
          <t>Within range – best EV spec in range (no local dealer)</t>
        </is>
      </c>
    </row>
    <row r="14">
      <c r="A14" s="35" t="inlineStr">
        <is>
          <t>Kinetic Green Zulu</t>
        </is>
      </c>
      <c r="B14" s="10" t="inlineStr">
        <is>
          <t>EV</t>
        </is>
      </c>
      <c r="C14" s="10" t="inlineStr">
        <is>
          <t>No – NEW</t>
        </is>
      </c>
      <c r="D14" s="20" t="n">
        <v>93</v>
      </c>
      <c r="E14" s="16">
        <f>IF(AND(D14&gt;=Inputs!$B$18,D14&lt;=Inputs!$B$19),"YES","No ("&amp;TEXT(D14-Inputs!$B$19,"+0.0")&amp;" kg)")</f>
        <v/>
      </c>
      <c r="F14" s="41" t="inlineStr">
        <is>
          <t>Add</t>
        </is>
      </c>
      <c r="G14" s="18" t="inlineStr">
        <is>
          <t>Within range</t>
        </is>
      </c>
    </row>
    <row r="15">
      <c r="A15" s="35" t="inlineStr">
        <is>
          <t>Ampere Magnus Neo</t>
        </is>
      </c>
      <c r="B15" s="10" t="inlineStr">
        <is>
          <t>EV</t>
        </is>
      </c>
      <c r="C15" s="10" t="inlineStr">
        <is>
          <t>No – NEW</t>
        </is>
      </c>
      <c r="D15" s="20" t="n">
        <v>103</v>
      </c>
      <c r="E15" s="16">
        <f>IF(AND(D15&gt;=Inputs!$B$18,D15&lt;=Inputs!$B$19),"YES","No ("&amp;TEXT(D15-Inputs!$B$19,"+0.0")&amp;" kg)")</f>
        <v/>
      </c>
      <c r="F15" s="41" t="inlineStr">
        <is>
          <t>Add (closest alternative)</t>
        </is>
      </c>
      <c r="G15" s="18" t="inlineStr">
        <is>
          <t>Only 5th EV option near the range</t>
        </is>
      </c>
    </row>
    <row r="16">
      <c r="A16" s="35" t="inlineStr">
        <is>
          <t>TVS XL100</t>
        </is>
      </c>
      <c r="B16" s="10" t="inlineStr">
        <is>
          <t>Petrol</t>
        </is>
      </c>
      <c r="C16" s="10" t="inlineStr">
        <is>
          <t>No – NEW</t>
        </is>
      </c>
      <c r="D16" s="20" t="n">
        <v>89</v>
      </c>
      <c r="E16" s="16">
        <f>IF(AND(D16&gt;=Inputs!$B$18,D16&lt;=Inputs!$B$19),"YES","No ("&amp;TEXT(D16-Inputs!$B$19,"+0.0")&amp;" kg)")</f>
        <v/>
      </c>
      <c r="F16" s="41" t="inlineStr">
        <is>
          <t>Add</t>
        </is>
      </c>
      <c r="G16" s="18" t="inlineStr">
        <is>
          <t>Within range – but a moped, not a scooter</t>
        </is>
      </c>
    </row>
    <row r="17">
      <c r="A17" s="35" t="inlineStr">
        <is>
          <t>Yamaha RayZR 125</t>
        </is>
      </c>
      <c r="B17" s="10" t="inlineStr">
        <is>
          <t>Petrol</t>
        </is>
      </c>
      <c r="C17" s="10" t="inlineStr">
        <is>
          <t>No – NEW</t>
        </is>
      </c>
      <c r="D17" s="20" t="n">
        <v>99</v>
      </c>
      <c r="E17" s="16">
        <f>IF(AND(D17&gt;=Inputs!$B$18,D17&lt;=Inputs!$B$19),"YES","No ("&amp;TEXT(D17-Inputs!$B$19,"+0.0")&amp;" kg)")</f>
        <v/>
      </c>
      <c r="F17" s="41" t="inlineStr">
        <is>
          <t>Add (closest alternative)</t>
        </is>
      </c>
      <c r="G17" s="18" t="inlineStr">
        <is>
          <t>Same light 99 kg as Fascino</t>
        </is>
      </c>
    </row>
    <row r="18">
      <c r="A18" s="35" t="inlineStr">
        <is>
          <t>TVS Zest 110</t>
        </is>
      </c>
      <c r="B18" s="10" t="inlineStr">
        <is>
          <t>Petrol</t>
        </is>
      </c>
      <c r="C18" s="10" t="inlineStr">
        <is>
          <t>No – NEW</t>
        </is>
      </c>
      <c r="D18" s="20" t="n">
        <v>103</v>
      </c>
      <c r="E18" s="16">
        <f>IF(AND(D18&gt;=Inputs!$B$18,D18&lt;=Inputs!$B$19),"YES","No ("&amp;TEXT(D18-Inputs!$B$19,"+0.0")&amp;" kg)")</f>
        <v/>
      </c>
      <c r="F18" s="41" t="inlineStr">
        <is>
          <t>Add (closest alternative)</t>
        </is>
      </c>
      <c r="G18" s="18" t="inlineStr">
        <is>
          <t>Light, 760 mm seat, cheapest scooter here</t>
        </is>
      </c>
    </row>
    <row r="19">
      <c r="A19" s="35" t="inlineStr">
        <is>
          <t>Honda Dio 110</t>
        </is>
      </c>
      <c r="B19" s="10" t="inlineStr">
        <is>
          <t>Petrol</t>
        </is>
      </c>
      <c r="C19" s="10" t="inlineStr">
        <is>
          <t>No – NEW</t>
        </is>
      </c>
      <c r="D19" s="20" t="n">
        <v>103</v>
      </c>
      <c r="E19" s="16">
        <f>IF(AND(D19&gt;=Inputs!$B$18,D19&lt;=Inputs!$B$19),"YES","No ("&amp;TEXT(D19-Inputs!$B$19,"+0.0")&amp;" kg)")</f>
        <v/>
      </c>
      <c r="F19" s="41" t="inlineStr">
        <is>
          <t>Add (closest alternative)</t>
        </is>
      </c>
      <c r="G19" s="18" t="inlineStr">
        <is>
          <t>Honda reliability, lighter than Activa</t>
        </is>
      </c>
    </row>
    <row r="20">
      <c r="A20" s="35" t="inlineStr">
        <is>
          <t>TVS Scooty Pep+</t>
        </is>
      </c>
      <c r="B20" s="10" t="inlineStr">
        <is>
          <t>Petrol</t>
        </is>
      </c>
      <c r="C20" s="10" t="inlineStr">
        <is>
          <t>No</t>
        </is>
      </c>
      <c r="D20" s="20" t="n">
        <v>93</v>
      </c>
      <c r="E20" s="16">
        <f>IF(AND(D20&gt;=Inputs!$B$18,D20&lt;=Inputs!$B$19),"YES","No ("&amp;TEXT(D20-Inputs!$B$19,"+0.0")&amp;" kg)")</f>
        <v/>
      </c>
      <c r="F20" s="42" t="inlineStr">
        <is>
          <t>Not added</t>
        </is>
      </c>
      <c r="G20" s="18" t="inlineStr">
        <is>
          <t>Within range BUT discontinued since Nov 2024</t>
        </is>
      </c>
    </row>
  </sheetData>
  <conditionalFormatting sqref="E2:E20">
    <cfRule type="expression" priority="1" dxfId="0">
      <formula>$E2="YES"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8" customWidth="1" min="4" max="4"/>
    <col width="8" customWidth="1" min="5" max="5"/>
    <col width="8" customWidth="1" min="6" max="6"/>
    <col width="14" customWidth="1" min="7" max="7"/>
    <col width="40" customWidth="1" min="8" max="8"/>
  </cols>
  <sheetData>
    <row r="1" ht="42" customHeight="1">
      <c r="A1" s="2" t="inlineStr">
        <is>
          <t>Manufacturer</t>
        </is>
      </c>
      <c r="B1" s="2" t="inlineStr">
        <is>
          <t>Model(s)</t>
        </is>
      </c>
      <c r="C1" s="2" t="inlineStr">
        <is>
          <t>Dealer</t>
        </is>
      </c>
      <c r="D1" s="2" t="inlineStr">
        <is>
          <t>Thoothukudi address</t>
        </is>
      </c>
      <c r="E1" s="2" t="inlineStr">
        <is>
          <t>Sales</t>
        </is>
      </c>
      <c r="F1" s="2" t="inlineStr">
        <is>
          <t>Service</t>
        </is>
      </c>
      <c r="G1" s="2" t="inlineStr">
        <is>
          <t>Contact</t>
        </is>
      </c>
      <c r="H1" s="2" t="inlineStr">
        <is>
          <t>Status</t>
        </is>
      </c>
    </row>
    <row r="2">
      <c r="A2" s="43" t="inlineStr">
        <is>
          <t>Honda</t>
        </is>
      </c>
      <c r="B2" s="18" t="inlineStr">
        <is>
          <t>QC1, Dio 110</t>
        </is>
      </c>
      <c r="C2" s="18" t="inlineStr">
        <is>
          <t>Pearl Honda</t>
        </is>
      </c>
      <c r="D2" s="18" t="inlineStr">
        <is>
          <t>No. 5 &amp; 6, Ettayapuram Rd, Tuticorin Melur, State Bank Colony – 628002</t>
        </is>
      </c>
      <c r="E2" s="18" t="inlineStr">
        <is>
          <t>✅ Dio</t>
        </is>
      </c>
      <c r="F2" s="18" t="inlineStr">
        <is>
          <t>✅</t>
        </is>
      </c>
      <c r="G2" s="18" t="inlineStr">
        <is>
          <t>Not public</t>
        </is>
      </c>
      <c r="H2" s="26" t="inlineStr">
        <is>
          <t>Dio: listed. QC1: Not confirmed in Thoothukudi (QC1 launched in 6 big cities)</t>
        </is>
      </c>
    </row>
    <row r="3">
      <c r="A3" s="43" t="inlineStr">
        <is>
          <t>TVS</t>
        </is>
      </c>
      <c r="B3" s="18" t="inlineStr">
        <is>
          <t>Orbiter V1, Zest 110, XL100</t>
        </is>
      </c>
      <c r="C3" s="18" t="inlineStr">
        <is>
          <t>Nellai Trading Automobile</t>
        </is>
      </c>
      <c r="D3" s="18" t="inlineStr">
        <is>
          <t>16H/1, Palayamkottai Road – 628008</t>
        </is>
      </c>
      <c r="E3" s="18" t="inlineStr">
        <is>
          <t>✅</t>
        </is>
      </c>
      <c r="F3" s="18" t="inlineStr">
        <is>
          <t>✅</t>
        </is>
      </c>
      <c r="G3" s="18" t="inlineStr">
        <is>
          <t>—</t>
        </is>
      </c>
      <c r="H3" s="18" t="inlineStr">
        <is>
          <t>Listed TVS dealer. Orbiter stock: confirm</t>
        </is>
      </c>
    </row>
    <row r="4">
      <c r="A4" s="43" t="inlineStr">
        <is>
          <t>TVS</t>
        </is>
      </c>
      <c r="B4" s="18" t="inlineStr">
        <is>
          <t>Orbiter V1, Zest 110, XL100</t>
        </is>
      </c>
      <c r="C4" s="18" t="inlineStr">
        <is>
          <t>Mizbah Motors</t>
        </is>
      </c>
      <c r="D4" s="18" t="inlineStr">
        <is>
          <t>Ettayapuram Main Rd, near New Bus Stand – 628003</t>
        </is>
      </c>
      <c r="E4" s="18" t="inlineStr">
        <is>
          <t>✅</t>
        </is>
      </c>
      <c r="F4" s="18" t="inlineStr">
        <is>
          <t>✅</t>
        </is>
      </c>
      <c r="G4" s="18" t="inlineStr">
        <is>
          <t>—</t>
        </is>
      </c>
      <c r="H4" s="18" t="inlineStr">
        <is>
          <t>Listed TVS dealer</t>
        </is>
      </c>
    </row>
    <row r="5">
      <c r="A5" s="43" t="inlineStr">
        <is>
          <t>Yamaha</t>
        </is>
      </c>
      <c r="B5" s="18" t="inlineStr">
        <is>
          <t>Fascino 125, RayZR 125</t>
        </is>
      </c>
      <c r="C5" s="18" t="inlineStr">
        <is>
          <t>Lakhmi Motors</t>
        </is>
      </c>
      <c r="D5" s="18" t="inlineStr">
        <is>
          <t>247–249 Muthu Mahal, Opp. KTC Depot, Tiruchendur Rd – 628216</t>
        </is>
      </c>
      <c r="E5" s="18" t="inlineStr">
        <is>
          <t>✅</t>
        </is>
      </c>
      <c r="F5" s="18" t="inlineStr">
        <is>
          <t>✅</t>
        </is>
      </c>
      <c r="G5" s="18" t="inlineStr">
        <is>
          <t>73737 30152</t>
        </is>
      </c>
      <c r="H5" s="18" t="inlineStr">
        <is>
          <t>Listed</t>
        </is>
      </c>
    </row>
    <row r="6">
      <c r="A6" s="43" t="inlineStr">
        <is>
          <t>Yamaha</t>
        </is>
      </c>
      <c r="B6" s="18" t="inlineStr">
        <is>
          <t>Fascino 125, RayZR 125</t>
        </is>
      </c>
      <c r="C6" s="18" t="inlineStr">
        <is>
          <t>Devi Motors</t>
        </is>
      </c>
      <c r="D6" s="18" t="inlineStr">
        <is>
          <t>1/201/1A Main Rd, Puthiamputhur – 628402</t>
        </is>
      </c>
      <c r="E6" s="18" t="inlineStr">
        <is>
          <t>✅</t>
        </is>
      </c>
      <c r="F6" s="18" t="inlineStr">
        <is>
          <t>✅</t>
        </is>
      </c>
      <c r="G6" s="18" t="inlineStr">
        <is>
          <t>87543 85656</t>
        </is>
      </c>
      <c r="H6" s="18" t="inlineStr">
        <is>
          <t>Listed (outside city)</t>
        </is>
      </c>
    </row>
    <row r="7">
      <c r="A7" s="43" t="inlineStr">
        <is>
          <t>Kinetic (Watts &amp; Volts)</t>
        </is>
      </c>
      <c r="B7" s="18" t="inlineStr">
        <is>
          <t>DX</t>
        </is>
      </c>
      <c r="C7" s="18" t="inlineStr">
        <is>
          <t>—</t>
        </is>
      </c>
      <c r="D7" s="18" t="inlineStr">
        <is>
          <t>—</t>
        </is>
      </c>
      <c r="E7" s="18" t="inlineStr">
        <is>
          <t>—</t>
        </is>
      </c>
      <c r="F7" s="18" t="inlineStr">
        <is>
          <t>—</t>
        </is>
      </c>
      <c r="G7" s="18" t="inlineStr">
        <is>
          <t>—</t>
        </is>
      </c>
      <c r="H7" s="26" t="inlineStr">
        <is>
          <t>Not confirmed in Thoothukudi (no dealer in Thoothukudi or Tirunelveli)</t>
        </is>
      </c>
    </row>
    <row r="8">
      <c r="A8" s="43" t="inlineStr">
        <is>
          <t>Kinetic Green</t>
        </is>
      </c>
      <c r="B8" s="18" t="inlineStr">
        <is>
          <t>Zulu</t>
        </is>
      </c>
      <c r="C8" s="18" t="inlineStr">
        <is>
          <t>—</t>
        </is>
      </c>
      <c r="D8" s="18" t="inlineStr">
        <is>
          <t>—</t>
        </is>
      </c>
      <c r="E8" s="18" t="inlineStr">
        <is>
          <t>—</t>
        </is>
      </c>
      <c r="F8" s="18" t="inlineStr">
        <is>
          <t>—</t>
        </is>
      </c>
      <c r="G8" s="18" t="inlineStr">
        <is>
          <t>—</t>
        </is>
      </c>
      <c r="H8" s="26" t="inlineStr">
        <is>
          <t>Not confirmed in Thoothukudi</t>
        </is>
      </c>
    </row>
    <row r="9">
      <c r="A9" s="43" t="inlineStr">
        <is>
          <t>Ampere (Greaves)</t>
        </is>
      </c>
      <c r="B9" s="18" t="inlineStr">
        <is>
          <t>Magnus Neo</t>
        </is>
      </c>
      <c r="C9" s="18" t="inlineStr">
        <is>
          <t>—</t>
        </is>
      </c>
      <c r="D9" s="18" t="inlineStr">
        <is>
          <t>—</t>
        </is>
      </c>
      <c r="E9" s="18" t="inlineStr">
        <is>
          <t>—</t>
        </is>
      </c>
      <c r="F9" s="18" t="inlineStr">
        <is>
          <t>—</t>
        </is>
      </c>
      <c r="G9" s="18" t="inlineStr">
        <is>
          <t>—</t>
        </is>
      </c>
      <c r="H9" s="26" t="inlineStr">
        <is>
          <t>Not confirmed in Thoothukudi</t>
        </is>
      </c>
    </row>
    <row r="10"/>
    <row r="11">
      <c r="A11" s="9" t="inlineStr">
        <is>
          <t>Source: dealer directories (BikeWale, Bikes4Sale, CarBike360, TheBikeJunction) via web search, Oct 2026. Verify on each brand's official dealer locator before paying.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42" customHeight="1">
      <c r="A1" s="2" t="inlineStr">
        <is>
          <t>Topic</t>
        </is>
      </c>
      <c r="B1" s="2" t="inlineStr">
        <is>
          <t>Source (accessed 5 Oct 2026)</t>
        </is>
      </c>
    </row>
    <row r="2">
      <c r="A2" s="44" t="inlineStr">
        <is>
          <t>Honda QC1 specs</t>
        </is>
      </c>
      <c r="B2" s="45" t="inlineStr">
        <is>
          <t>https://www.91wheels.com/bikes/honda/qc/specifications</t>
        </is>
      </c>
    </row>
    <row r="3">
      <c r="A3" s="44" t="inlineStr">
        <is>
          <t>Honda QC1 Thoothukudi price</t>
        </is>
      </c>
      <c r="B3" s="45" t="inlineStr">
        <is>
          <t>https://www.autocarindia.com/bikes/honda-bikes/qc1/price-in-thoothukudi</t>
        </is>
      </c>
    </row>
    <row r="4">
      <c r="A4" s="44" t="inlineStr">
        <is>
          <t>Honda QC1 launch cities</t>
        </is>
      </c>
      <c r="B4" s="45" t="inlineStr">
        <is>
          <t>https://www.autocarindia.com/bike-news/honda-activa-e-qc1-sales-off-to-a-slow-start-435151</t>
        </is>
      </c>
    </row>
    <row r="5">
      <c r="A5" s="44" t="inlineStr">
        <is>
          <t>Kinetic DX specs</t>
        </is>
      </c>
      <c r="B5" s="45" t="inlineStr">
        <is>
          <t>https://www.autocarindia.com/bikes/kinetic/dx/specifications</t>
        </is>
      </c>
    </row>
    <row r="6">
      <c r="A6" s="44" t="inlineStr">
        <is>
          <t>Kinetic DX variants</t>
        </is>
      </c>
      <c r="B6" s="45" t="inlineStr">
        <is>
          <t>https://www.91wheels.com/scooters/kinetic/dx</t>
        </is>
      </c>
    </row>
    <row r="7">
      <c r="A7" s="44" t="inlineStr">
        <is>
          <t>Kinetic DX Thoothukudi</t>
        </is>
      </c>
      <c r="B7" s="45" t="inlineStr">
        <is>
          <t>https://thebikejunction.com/electric-scooters/kinetic/dx/price-in-thoothukudi</t>
        </is>
      </c>
    </row>
    <row r="8">
      <c r="A8" s="44" t="inlineStr">
        <is>
          <t>Kinetic Green Zulu</t>
        </is>
      </c>
      <c r="B8" s="45" t="inlineStr">
        <is>
          <t>https://www.evoindia.com/news/kinetic-green-zulu-launched-at-rs-94990</t>
        </is>
      </c>
    </row>
    <row r="9">
      <c r="A9" s="44" t="inlineStr">
        <is>
          <t>Kinetic Green Zulu specs</t>
        </is>
      </c>
      <c r="B9" s="45" t="inlineStr">
        <is>
          <t>https://www.91wheels.com/scooters/kinetic/green-zulu</t>
        </is>
      </c>
    </row>
    <row r="10">
      <c r="A10" s="44" t="inlineStr">
        <is>
          <t>TVS Orbiter</t>
        </is>
      </c>
      <c r="B10" s="45" t="inlineStr">
        <is>
          <t>https://www.autocarindia.com/bikes/tvs/orbiter/specifications</t>
        </is>
      </c>
    </row>
    <row r="11">
      <c r="A11" s="44" t="inlineStr">
        <is>
          <t>Ampere Magnus Neo 2026</t>
        </is>
      </c>
      <c r="B11" s="45" t="inlineStr">
        <is>
          <t>https://www.rushlane.com/2026-ampere-magnus-neo-updated-same-price-new-colours-minor-tweaks-12544987.html</t>
        </is>
      </c>
    </row>
    <row r="12">
      <c r="A12" s="44" t="inlineStr">
        <is>
          <t>Ola S1 Z</t>
        </is>
      </c>
      <c r="B12" s="45" t="inlineStr">
        <is>
          <t>https://www.autocarpro.in/news/ola-s1-z-launched-at-rs-59999-123692</t>
        </is>
      </c>
    </row>
    <row r="13">
      <c r="A13" s="44" t="inlineStr">
        <is>
          <t>Lightweight scooter lists</t>
        </is>
      </c>
      <c r="B13" s="45" t="inlineStr">
        <is>
          <t>https://auto.shriramfinance.in/articles/finance/best-lightweight-scooty-for-women-in-india-2026</t>
        </is>
      </c>
    </row>
    <row r="14">
      <c r="A14" s="44" t="inlineStr">
        <is>
          <t>Lightweight EV list</t>
        </is>
      </c>
      <c r="B14" s="45" t="inlineStr">
        <is>
          <t>https://www.godigit.com/bike-guides/best-light-weight-scooters-in-india</t>
        </is>
      </c>
    </row>
    <row r="15">
      <c r="A15" s="44" t="inlineStr">
        <is>
          <t>TVS Scooty Pep+ discontinued</t>
        </is>
      </c>
      <c r="B15" s="45" t="inlineStr">
        <is>
          <t>https://www.zigwheels.com/tvs-bikes/scooty/glossy</t>
        </is>
      </c>
    </row>
    <row r="16">
      <c r="A16" s="44" t="inlineStr">
        <is>
          <t>TVS XL100 specs/prices</t>
        </is>
      </c>
      <c r="B16" s="45" t="inlineStr">
        <is>
          <t>https://www.bikedekho.com/news/category-price-updates/tvs-xl100-price-hiked-check-latest-variant-wise-price-here-19094</t>
        </is>
      </c>
    </row>
    <row r="17">
      <c r="A17" s="44" t="inlineStr">
        <is>
          <t>TVS XL100 Thoothukudi</t>
        </is>
      </c>
      <c r="B17" s="45" t="inlineStr">
        <is>
          <t>https://www.bikedekho.com/tvs/xl-100/price-in-thoothukudi</t>
        </is>
      </c>
    </row>
    <row r="18">
      <c r="A18" s="44" t="inlineStr">
        <is>
          <t>TVS Zest 110 Thoothukudi</t>
        </is>
      </c>
      <c r="B18" s="45" t="inlineStr">
        <is>
          <t>https://www.bikes24.com/tvs/zest-110/price-in-thoothukudi/</t>
        </is>
      </c>
    </row>
    <row r="19">
      <c r="A19" s="44" t="inlineStr">
        <is>
          <t>Honda Dio Thoothukudi</t>
        </is>
      </c>
      <c r="B19" s="45" t="inlineStr">
        <is>
          <t>https://www.bikes24.com/honda/dio/price-in-thoothukudi/</t>
        </is>
      </c>
    </row>
    <row r="20">
      <c r="A20" s="44" t="inlineStr">
        <is>
          <t>Honda Dio 110</t>
        </is>
      </c>
      <c r="B20" s="45" t="inlineStr">
        <is>
          <t>https://www.smartprix.com/scooters/honda-dio-110-ppd1f3rii19a</t>
        </is>
      </c>
    </row>
    <row r="21">
      <c r="A21" s="44" t="inlineStr">
        <is>
          <t>Yamaha Fascino Thoothukudi</t>
        </is>
      </c>
      <c r="B21" s="45" t="inlineStr">
        <is>
          <t>https://www.zigwheels.com/yamaha-bikes/fascino/on-road-price-thoothukudi/</t>
        </is>
      </c>
    </row>
    <row r="22">
      <c r="A22" s="44" t="inlineStr">
        <is>
          <t>Yamaha RayZR Chennai</t>
        </is>
      </c>
      <c r="B22" s="45" t="inlineStr">
        <is>
          <t>https://www.zigwheels.com/yamaha-bikes/ray-zr-125/on-road-price-chennai/</t>
        </is>
      </c>
    </row>
    <row r="23">
      <c r="A23" s="44" t="inlineStr">
        <is>
          <t>Yamaha RayZR variants</t>
        </is>
      </c>
      <c r="B23" s="45" t="inlineStr">
        <is>
          <t>https://91wheels.com/scooters/yamaha/rayzr-125-fi-hybrid</t>
        </is>
      </c>
    </row>
    <row r="24">
      <c r="A24" s="44" t="inlineStr">
        <is>
          <t>Hero Pleasure+ weights</t>
        </is>
      </c>
      <c r="B24" s="45" t="inlineStr">
        <is>
          <t>https://www.team-bhp.com/new-bikes/hero/pleasure-plus/specifications/</t>
        </is>
      </c>
    </row>
    <row r="25">
      <c r="A25" s="44" t="inlineStr">
        <is>
          <t>PM E-DRIVE ended</t>
        </is>
      </c>
      <c r="B25" s="45" t="inlineStr">
        <is>
          <t>https://www.evfy.in/news/pm-e-drive-subsidy-ends-what-it-means-for-ev-buyers-from-august-2026</t>
        </is>
      </c>
    </row>
    <row r="26">
      <c r="A26" s="44" t="inlineStr">
        <is>
          <t>TN EV road tax</t>
        </is>
      </c>
      <c r="B26" s="45" t="inlineStr">
        <is>
          <t>https://thefederal.com/category/states/south/tamil-nadu/tamil-nadu-ev-road-tax-exemption-till-dec-31-2027-223729</t>
        </is>
      </c>
    </row>
    <row r="27">
      <c r="A27" s="44" t="inlineStr">
        <is>
          <t>TN electricity tariff</t>
        </is>
      </c>
      <c r="B27" s="45" t="inlineStr">
        <is>
          <t>https://thediscombill.com/guides/tamil-nadu-electricity-tariff-july-2026/</t>
        </is>
      </c>
    </row>
    <row r="28">
      <c r="A28" s="44" t="inlineStr">
        <is>
          <t>Petrol price Thoothukudi</t>
        </is>
      </c>
      <c r="B28" s="45" t="inlineStr">
        <is>
          <t>https://www.shriramfinance.in/petrol-price-in-thoothukudi</t>
        </is>
      </c>
    </row>
    <row r="29">
      <c r="A29" s="44" t="inlineStr">
        <is>
          <t>Battery replacement costs</t>
        </is>
      </c>
      <c r="B29" s="45" t="inlineStr">
        <is>
          <t>https://www.evfy.in/news/battery-replacement-costs-of-ev-two-wheelers-in-india</t>
        </is>
      </c>
    </row>
    <row r="30">
      <c r="A30" s="44" t="inlineStr">
        <is>
          <t>IDV depreciation</t>
        </is>
      </c>
      <c r="B30" s="45" t="inlineStr">
        <is>
          <t>https://www.icicilombard.com/blogs/two-wheeler-insurance/bike/understand-the-depreciation-value-of-your-two-wheeler</t>
        </is>
      </c>
    </row>
    <row r="31">
      <c r="A31" s="44" t="inlineStr">
        <is>
          <t>Dealers – Honda</t>
        </is>
      </c>
      <c r="B31" s="45" t="inlineStr">
        <is>
          <t>https://www.bikewale.com/dealer-showrooms/honda/tuticorin/</t>
        </is>
      </c>
    </row>
    <row r="32">
      <c r="A32" s="44" t="inlineStr">
        <is>
          <t>Dealers – TVS</t>
        </is>
      </c>
      <c r="B32" s="45" t="inlineStr">
        <is>
          <t>https://bikewale.com/dealer-showrooms/tvs/thoothukudi</t>
        </is>
      </c>
    </row>
    <row r="33">
      <c r="A33" s="44" t="inlineStr">
        <is>
          <t>Dealers – Yamaha</t>
        </is>
      </c>
      <c r="B33" s="45" t="inlineStr">
        <is>
          <t>https://www.bikes4sale.in/new-bike-showrooms/dealer/yamaha/tamil-nadu/thoothukudi/6561/lakhmi-motors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2026-10-05T05:44:12Z</dcterms:created>
  <dcterms:modified xsi:type="dcterms:W3CDTF">2026-10-05T05:44:12Z</dcterms:modified>
</cp:coreProperties>
</file>