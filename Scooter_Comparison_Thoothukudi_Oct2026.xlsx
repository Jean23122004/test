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ison" sheetId="1" state="visible" r:id="rId1"/>
    <sheet name="Assumptions" sheetId="2" state="visible" r:id="rId2"/>
    <sheet name="Weight Analysis" sheetId="3" state="visible" r:id="rId3"/>
    <sheet name="Running Cost" sheetId="4" state="visible" r:id="rId4"/>
    <sheet name="5-Year TCO" sheetId="5" state="visible" r:id="rId5"/>
    <sheet name="vs Your Pleasure" sheetId="6" state="visible" r:id="rId6"/>
    <sheet name="Thoothukudi Dealers" sheetId="7" state="visible" r:id="rId7"/>
    <sheet name="Rankings &amp; Shortlist" sheetId="8" state="visible" r:id="rId8"/>
    <sheet name="Source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₹#,##0;(₹#,##0);&quot;-&quot;"/>
    <numFmt numFmtId="165" formatCode="+0;-0;0"/>
    <numFmt numFmtId="166" formatCode="₹0.00"/>
    <numFmt numFmtId="167" formatCode="₹#,##0.00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color rgb="00FFFFFF"/>
    </font>
    <font>
      <name val="Arial"/>
    </font>
    <font>
      <name val="Arial"/>
      <color rgb="000000FF"/>
    </font>
    <font>
      <name val="Arial"/>
      <i val="1"/>
      <color rgb="00595959"/>
    </font>
    <font>
      <name val="Arial"/>
      <b val="1"/>
    </font>
    <font>
      <name val="Arial"/>
      <i val="1"/>
    </font>
    <font>
      <name val="Arial"/>
      <color rgb="00008000"/>
    </font>
    <font>
      <name val="Arial"/>
      <color rgb="000563C1"/>
      <u val="single"/>
    </font>
    <font>
      <name val="Arial"/>
      <color theme="1"/>
      <sz val="11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F00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top" wrapText="1"/>
    </xf>
    <xf numFmtId="0" fontId="3" fillId="4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3" fillId="4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horizontal="center" vertical="top" wrapText="1"/>
    </xf>
    <xf numFmtId="164" fontId="4" fillId="0" borderId="1" applyAlignment="1" pivotButton="0" quotePrefix="0" xfId="0">
      <alignment horizontal="center" vertical="top" wrapText="1"/>
    </xf>
    <xf numFmtId="164" fontId="3" fillId="0" borderId="1" applyAlignment="1" pivotButton="0" quotePrefix="0" xfId="0">
      <alignment horizontal="center" vertical="top"/>
    </xf>
    <xf numFmtId="2" fontId="3" fillId="0" borderId="1" applyAlignment="1" pivotButton="0" quotePrefix="0" xfId="0">
      <alignment horizontal="center" vertical="top"/>
    </xf>
    <xf numFmtId="1" fontId="3" fillId="0" borderId="1" applyAlignment="1" pivotButton="0" quotePrefix="0" xfId="0">
      <alignment horizontal="center" vertical="top"/>
    </xf>
    <xf numFmtId="165" fontId="3" fillId="0" borderId="1" applyAlignment="1" pivotButton="0" quotePrefix="0" xfId="0">
      <alignment horizontal="center" vertical="top"/>
    </xf>
    <xf numFmtId="166" fontId="3" fillId="0" borderId="1" applyAlignment="1" pivotButton="0" quotePrefix="0" xfId="0">
      <alignment horizontal="center" vertical="top"/>
    </xf>
    <xf numFmtId="0" fontId="3" fillId="5" borderId="1" applyAlignment="1" pivotButton="0" quotePrefix="0" xfId="0">
      <alignment vertical="top" wrapText="1"/>
    </xf>
    <xf numFmtId="0" fontId="3" fillId="5" borderId="1" applyAlignment="1" pivotButton="0" quotePrefix="0" xfId="0">
      <alignment horizontal="center" vertical="top" wrapText="1"/>
    </xf>
    <xf numFmtId="0" fontId="10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4" fillId="3" borderId="0" pivotButton="0" quotePrefix="0" xfId="0"/>
    <xf numFmtId="0" fontId="5" fillId="0" borderId="0" applyAlignment="1" pivotButton="0" quotePrefix="0" xfId="0">
      <alignment/>
    </xf>
    <xf numFmtId="0" fontId="5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164" fontId="4" fillId="3" borderId="1" pivotButton="0" quotePrefix="0" xfId="0"/>
    <xf numFmtId="164" fontId="6" fillId="0" borderId="0" pivotButton="0" quotePrefix="0" xfId="0"/>
    <xf numFmtId="0" fontId="8" fillId="0" borderId="1" pivotButton="0" quotePrefix="0" xfId="0"/>
    <xf numFmtId="164" fontId="8" fillId="0" borderId="1" pivotButton="0" quotePrefix="0" xfId="0"/>
    <xf numFmtId="0" fontId="3" fillId="0" borderId="1" pivotButton="0" quotePrefix="0" xfId="0"/>
    <xf numFmtId="2" fontId="3" fillId="0" borderId="1" pivotButton="0" quotePrefix="0" xfId="0"/>
    <xf numFmtId="1" fontId="8" fillId="0" borderId="1" pivotButton="0" quotePrefix="0" xfId="0"/>
    <xf numFmtId="167" fontId="8" fillId="0" borderId="1" pivotButton="0" quotePrefix="0" xfId="0"/>
    <xf numFmtId="167" fontId="3" fillId="0" borderId="1" pivotButton="0" quotePrefix="0" xfId="0"/>
    <xf numFmtId="164" fontId="3" fillId="0" borderId="1" pivotButton="0" quotePrefix="0" xfId="0"/>
    <xf numFmtId="3" fontId="3" fillId="0" borderId="1" pivotButton="0" quotePrefix="0" xfId="0"/>
    <xf numFmtId="164" fontId="6" fillId="0" borderId="1" pivotButton="0" quotePrefix="0" xfId="0"/>
    <xf numFmtId="166" fontId="3" fillId="0" borderId="1" pivotButton="0" quotePrefix="0" xfId="0"/>
    <xf numFmtId="0" fontId="6" fillId="0" borderId="1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6" fillId="0" borderId="1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9.xml.rels><Relationships xmlns="http://schemas.openxmlformats.org/package/2006/relationships"><Relationship Type="http://schemas.openxmlformats.org/officeDocument/2006/relationships/hyperlink" Target="https://www.evfy.in/news/pm-e-drive-subsidy-ends-what-it-means-for-ev-buyers-from-august-2026" TargetMode="External" Id="rId1" /><Relationship Type="http://schemas.openxmlformats.org/officeDocument/2006/relationships/hyperlink" Target="https://www.autocarindia.com/bike-news/pm-e-drive-subsidy-extended-until-july-31-for-electric-two-wheelers-439316" TargetMode="External" Id="rId2" /><Relationship Type="http://schemas.openxmlformats.org/officeDocument/2006/relationships/hyperlink" Target="https://thefederal.com/category/states/south/tamil-nadu/tamil-nadu-ev-road-tax-exemption-till-dec-31-2027-223729" TargetMode="External" Id="rId3" /><Relationship Type="http://schemas.openxmlformats.org/officeDocument/2006/relationships/hyperlink" Target="https://thediscombill.com/guides/tamil-nadu-electricity-tariff-july-2026/" TargetMode="External" Id="rId4" /><Relationship Type="http://schemas.openxmlformats.org/officeDocument/2006/relationships/hyperlink" Target="https://www.shriramfinance.in/petrol-price-in-thoothukudi" TargetMode="External" Id="rId5" /><Relationship Type="http://schemas.openxmlformats.org/officeDocument/2006/relationships/hyperlink" Target="https://www.evfy.in/news/battery-replacement-costs-of-ev-two-wheelers-in-india" TargetMode="External" Id="rId6" /><Relationship Type="http://schemas.openxmlformats.org/officeDocument/2006/relationships/hyperlink" Target="https://www.autocarindia.com/bikes/tvs/iqube/specifications" TargetMode="External" Id="rId7" /><Relationship Type="http://schemas.openxmlformats.org/officeDocument/2006/relationships/hyperlink" Target="https://tvsmotor.com/electric-vehicle/tvs-iqube/tvs-iqube-2-2-kwh-variant-details" TargetMode="External" Id="rId8" /><Relationship Type="http://schemas.openxmlformats.org/officeDocument/2006/relationships/hyperlink" Target="https://www.tvsmotor.com/customers/Warranty-Policy" TargetMode="External" Id="rId9" /><Relationship Type="http://schemas.openxmlformats.org/officeDocument/2006/relationships/hyperlink" Target="https://www.91wheels.com/scooters/bajaj/chetak-c25" TargetMode="External" Id="rId10" /><Relationship Type="http://schemas.openxmlformats.org/officeDocument/2006/relationships/hyperlink" Target="https://www.rushlane.com/bajaj-chetak-c25-first-ride-review-your-next-ev-under-rs-1-lakh-12538166.html" TargetMode="External" Id="rId11" /><Relationship Type="http://schemas.openxmlformats.org/officeDocument/2006/relationships/hyperlink" Target="https://www.chetak.com/blogs/bajaj-chetak-battery-warranty-whats-covered-and-whats-not" TargetMode="External" Id="rId12" /><Relationship Type="http://schemas.openxmlformats.org/officeDocument/2006/relationships/hyperlink" Target="https://www.autocarindia.com/bikes/tvs/orbiter/specifications" TargetMode="External" Id="rId13" /><Relationship Type="http://schemas.openxmlformats.org/officeDocument/2006/relationships/hyperlink" Target="https://www.autocarindia.com/bikes/ather/rizta/s-29-kwh" TargetMode="External" Id="rId14" /><Relationship Type="http://schemas.openxmlformats.org/officeDocument/2006/relationships/hyperlink" Target="https://www.meraev.com/blog/ather-electric-scooter-guide-2026" TargetMode="External" Id="rId15" /><Relationship Type="http://schemas.openxmlformats.org/officeDocument/2006/relationships/hyperlink" Target="https://www.smartprix.com/scooters/vida-vx2-go-ppd1z049xwko" TargetMode="External" Id="rId16" /><Relationship Type="http://schemas.openxmlformats.org/officeDocument/2006/relationships/hyperlink" Target="https://www.bikes24.com/vida/vx2/price-in-thoothukudi/" TargetMode="External" Id="rId17" /><Relationship Type="http://schemas.openxmlformats.org/officeDocument/2006/relationships/hyperlink" Target="https://www.autocarindia.com/bikes/honda-bikes/qc1/price-in-thoothukudi" TargetMode="External" Id="rId18" /><Relationship Type="http://schemas.openxmlformats.org/officeDocument/2006/relationships/hyperlink" Target="https://honda2wheelersindia.com/scooter/activa110" TargetMode="External" Id="rId19" /><Relationship Type="http://schemas.openxmlformats.org/officeDocument/2006/relationships/hyperlink" Target="https://www.autocarindia.com/bikes/honda-bikes/activa-6g/specifications" TargetMode="External" Id="rId20" /><Relationship Type="http://schemas.openxmlformats.org/officeDocument/2006/relationships/hyperlink" Target="https://www.tvsmotor.com/media/blog/tvs-jupiter-110-specifications-a-comprehensive-overview" TargetMode="External" Id="rId21" /><Relationship Type="http://schemas.openxmlformats.org/officeDocument/2006/relationships/hyperlink" Target="https://www.rushlane.com/tvs-jupiter-price-hike-feb-2026-up-to-rs-3250-new-price-list-12539507.html" TargetMode="External" Id="rId22" /><Relationship Type="http://schemas.openxmlformats.org/officeDocument/2006/relationships/hyperlink" Target="https://www.bikes24.com/hero/pleasure-plus/price-in-thoothukudi/" TargetMode="External" Id="rId23" /><Relationship Type="http://schemas.openxmlformats.org/officeDocument/2006/relationships/hyperlink" Target="https://www.heromotocorp.com/en-in/blogs/a-closer-look-at-the-pleasure-plus-xtec-s-specs-features-and-more.html" TargetMode="External" Id="rId24" /><Relationship Type="http://schemas.openxmlformats.org/officeDocument/2006/relationships/hyperlink" Target="https://www.zigwheels.com/suzuki-scooters/access-125" TargetMode="External" Id="rId25" /><Relationship Type="http://schemas.openxmlformats.org/officeDocument/2006/relationships/hyperlink" Target="https://www.zigwheels.com/yamaha-bikes/fascino/on-road-price-thoothukudi/" TargetMode="External" Id="rId26" /><Relationship Type="http://schemas.openxmlformats.org/officeDocument/2006/relationships/hyperlink" Target="https://Bikewale.com/hero-bikes/pleasure-2005-2015/" TargetMode="External" Id="rId27" /><Relationship Type="http://schemas.openxmlformats.org/officeDocument/2006/relationships/hyperlink" Target="https://bikewale.com/dealer-showrooms/tvs/thoothukudi" TargetMode="External" Id="rId28" /><Relationship Type="http://schemas.openxmlformats.org/officeDocument/2006/relationships/hyperlink" Target="https://www.bikewale.com/dealer-showrooms/honda/tuticorin/" TargetMode="External" Id="rId29" /><Relationship Type="http://schemas.openxmlformats.org/officeDocument/2006/relationships/hyperlink" Target="https://bikewale.com/dealer-showrooms/ather/tuticorin" TargetMode="External" Id="rId30" /><Relationship Type="http://schemas.openxmlformats.org/officeDocument/2006/relationships/hyperlink" Target="https://www.bikewale.com/dealer-showrooms/bajaj/tuticorin/" TargetMode="External" Id="rId31" /><Relationship Type="http://schemas.openxmlformats.org/officeDocument/2006/relationships/hyperlink" Target="https://bikewale.com/dealer-showrooms/hero/thoothukudi" TargetMode="External" Id="rId32" /><Relationship Type="http://schemas.openxmlformats.org/officeDocument/2006/relationships/hyperlink" Target="https://www.bikewale.com/dealer-showrooms/suzuki/tuticorin/" TargetMode="External" Id="rId33" /><Relationship Type="http://schemas.openxmlformats.org/officeDocument/2006/relationships/hyperlink" Target="https://www.bikes4sale.in/new-bike-showrooms/dealer/yamaha/tamil-nadu/thoothukudi/6561/lakhmi-motors" TargetMode="External" Id="rId34" /><Relationship Type="http://schemas.openxmlformats.org/officeDocument/2006/relationships/hyperlink" Target="https://www.multibagg.ai/market-pulse/articles/bajaj-chetak-ev-service-issues-cmr6opznua28dqs0j8cefvzi7" TargetMode="External" Id="rId35" /><Relationship Type="http://schemas.openxmlformats.org/officeDocument/2006/relationships/hyperlink" Target="https://www.multibagg.ai/market-pulse/articles/tvs-iqube-complaints-ev-impact-cmr7a5zp3pmrvqs0jabjoamwr" TargetMode="External" Id="rId3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6" customWidth="1" min="2" max="2"/>
    <col width="12" customWidth="1" min="3" max="3"/>
    <col width="16" customWidth="1" min="4" max="4"/>
    <col width="8" customWidth="1" min="5" max="5"/>
    <col width="10" customWidth="1" min="6" max="6"/>
    <col width="10" customWidth="1" min="7" max="7"/>
    <col width="12" customWidth="1" min="8" max="8"/>
    <col width="9" customWidth="1" min="9" max="9"/>
    <col width="12" customWidth="1" min="10" max="10"/>
    <col width="12" customWidth="1" min="11" max="11"/>
    <col width="11" customWidth="1" min="12" max="12"/>
    <col width="9" customWidth="1" min="13" max="13"/>
    <col width="9" customWidth="1" min="14" max="14"/>
    <col width="12" customWidth="1" min="15" max="15"/>
    <col width="13" customWidth="1" min="16" max="16"/>
    <col width="22" customWidth="1" min="17" max="17"/>
    <col width="22" customWidth="1" min="18" max="18"/>
    <col width="34" customWidth="1" min="19" max="19"/>
    <col width="22" customWidth="1" min="20" max="20"/>
    <col width="10" customWidth="1" min="21" max="21"/>
    <col width="34" customWidth="1" min="22" max="22"/>
    <col width="34" customWidth="1" min="23" max="23"/>
    <col width="12" customWidth="1" min="24" max="24"/>
    <col width="9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</cols>
  <sheetData>
    <row r="1" ht="45" customHeight="1">
      <c r="A1" s="1" t="inlineStr">
        <is>
          <t>Rank</t>
        </is>
      </c>
      <c r="B1" s="1" t="inlineStr">
        <is>
          <t>Scooter</t>
        </is>
      </c>
      <c r="C1" s="1" t="inlineStr">
        <is>
          <t>Brand</t>
        </is>
      </c>
      <c r="D1" s="1" t="inlineStr">
        <is>
          <t>Variant</t>
        </is>
      </c>
      <c r="E1" s="1" t="inlineStr">
        <is>
          <t>Fuel</t>
        </is>
      </c>
      <c r="F1" s="1" t="inlineStr">
        <is>
          <t>Kerb weight (kg)</t>
        </is>
      </c>
      <c r="G1" s="1" t="inlineStr">
        <is>
          <t>Seat height (mm)</t>
        </is>
      </c>
      <c r="H1" s="1" t="inlineStr">
        <is>
          <t>Battery (kWh) / Engine (cc)</t>
        </is>
      </c>
      <c r="I1" s="1" t="inlineStr">
        <is>
          <t>Peak power (kW)</t>
        </is>
      </c>
      <c r="J1" s="1" t="inlineStr">
        <is>
          <t>Claimed range (km) / mileage (kmpl)</t>
        </is>
      </c>
      <c r="K1" s="1" t="inlineStr">
        <is>
          <t>Real-world range (km) / mileage (kmpl)</t>
        </is>
      </c>
      <c r="L1" s="1" t="inlineStr">
        <is>
          <t>EV consumption incl. losses (Wh/km)</t>
        </is>
      </c>
      <c r="M1" s="1" t="inlineStr">
        <is>
          <t>Top speed (km/h)</t>
        </is>
      </c>
      <c r="N1" s="1" t="inlineStr">
        <is>
          <t>Boot (L)</t>
        </is>
      </c>
      <c r="O1" s="1" t="inlineStr">
        <is>
          <t>Ex-showroom (₹)</t>
        </is>
      </c>
      <c r="P1" s="1" t="inlineStr">
        <is>
          <t>On-road Thoothukudi (₹)</t>
        </is>
      </c>
      <c r="Q1" s="1" t="inlineStr">
        <is>
          <t>Price basis</t>
        </is>
      </c>
      <c r="R1" s="1" t="inlineStr">
        <is>
          <t>Warranty</t>
        </is>
      </c>
      <c r="S1" s="1" t="inlineStr">
        <is>
          <t>Thoothukudi dealer</t>
        </is>
      </c>
      <c r="T1" s="1" t="inlineStr">
        <is>
          <t>Dealer status</t>
        </is>
      </c>
      <c r="U1" s="1" t="inlineStr">
        <is>
          <t>Service rating</t>
        </is>
      </c>
      <c r="V1" s="1" t="inlineStr">
        <is>
          <t>Main advantage</t>
        </is>
      </c>
      <c r="W1" s="1" t="inlineStr">
        <is>
          <t>Main disadvantage</t>
        </is>
      </c>
      <c r="X1" s="1" t="inlineStr">
        <is>
          <t>Overall (stars)</t>
        </is>
      </c>
      <c r="Y1" s="1" t="inlineStr">
        <is>
          <t>Overall score /5</t>
        </is>
      </c>
      <c r="Z1" s="1" t="inlineStr">
        <is>
          <t>₹ per kg</t>
        </is>
      </c>
      <c r="AA1" s="1" t="inlineStr">
        <is>
          <t>Real range ÷ kg (EV)</t>
        </is>
      </c>
      <c r="AB1" s="1" t="inlineStr">
        <is>
          <t>Power-to-weight (W/kg)</t>
        </is>
      </c>
      <c r="AC1" s="1" t="inlineStr">
        <is>
          <t>Weight vs your Pleasure (kg)</t>
        </is>
      </c>
      <c r="AD1" s="1" t="inlineStr">
        <is>
          <t>Seat vs your Pleasure (mm)</t>
        </is>
      </c>
      <c r="AE1" s="1" t="inlineStr">
        <is>
          <t>Running cost (₹/km)</t>
        </is>
      </c>
    </row>
    <row r="2">
      <c r="A2" s="2" t="n">
        <v>1</v>
      </c>
      <c r="B2" s="3" t="inlineStr">
        <is>
          <t>Honda Activa 110</t>
        </is>
      </c>
      <c r="C2" s="2" t="inlineStr">
        <is>
          <t>Honda</t>
        </is>
      </c>
      <c r="D2" s="4" t="inlineStr">
        <is>
          <t>STD (DLX/H-Smart higher)</t>
        </is>
      </c>
      <c r="E2" s="5" t="inlineStr">
        <is>
          <t>Petrol</t>
        </is>
      </c>
      <c r="F2" s="6" t="n">
        <v>105</v>
      </c>
      <c r="G2" s="6" t="n">
        <v>764</v>
      </c>
      <c r="H2" s="6" t="n">
        <v>109.51</v>
      </c>
      <c r="I2" s="6" t="n">
        <v>5.88</v>
      </c>
      <c r="J2" s="6" t="n"/>
      <c r="K2" s="6" t="n">
        <v>50</v>
      </c>
      <c r="L2" s="6" t="n"/>
      <c r="M2" s="6" t="inlineStr">
        <is>
          <t>85†</t>
        </is>
      </c>
      <c r="N2" s="6" t="n">
        <v>18</v>
      </c>
      <c r="O2" s="7" t="n">
        <v>78866</v>
      </c>
      <c r="P2" s="7" t="n">
        <v>96000</v>
      </c>
      <c r="Q2" s="4" t="inlineStr">
        <is>
          <t>Est. (ex-showroom ✅ + TN RTO/insurance est.)</t>
        </is>
      </c>
      <c r="R2" s="4" t="inlineStr">
        <is>
          <t>3 yr std + up to 7 yr ext. (10 yr total)</t>
        </is>
      </c>
      <c r="S2" s="4" t="inlineStr">
        <is>
          <t>Pearl Honda, 5&amp;6 Ettayapuram Rd, Melur – 628002</t>
        </is>
      </c>
      <c r="T2" s="4" t="inlineStr">
        <is>
          <t>Listed</t>
        </is>
      </c>
      <c r="U2" s="2" t="inlineStr">
        <is>
          <t>★★★★★</t>
        </is>
      </c>
      <c r="V2" s="4" t="inlineStr">
        <is>
          <t>Benchmark reliability, best resale, 10-yr warranty option</t>
        </is>
      </c>
      <c r="W2" s="4" t="inlineStr">
        <is>
          <t>Small 18 L boot; drum brakes; 10-inch rear</t>
        </is>
      </c>
      <c r="X2" s="2" t="inlineStr">
        <is>
          <t>★★★★★</t>
        </is>
      </c>
      <c r="Y2" s="6" t="n">
        <v>5</v>
      </c>
      <c r="Z2" s="8">
        <f>IFERROR(P2/F2,"")</f>
        <v/>
      </c>
      <c r="AA2" s="9">
        <f>IF(E2="EV",IFERROR(K2/F2,""),"n/a")</f>
        <v/>
      </c>
      <c r="AB2" s="10">
        <f>IFERROR(VALUE(SUBSTITUTE(I2,"†",""))*1000/F2,"n/a")</f>
        <v/>
      </c>
      <c r="AC2" s="11">
        <f>F2-Assumptions!$B$8</f>
        <v/>
      </c>
      <c r="AD2" s="11">
        <f>IFERROR(VALUE(SUBSTITUTE(G2,"†",""))-Assumptions!$B$9,"n/a")</f>
        <v/>
      </c>
      <c r="AE2" s="12">
        <f>IF(E2="EV",L2/1000*Assumptions!$B$5,Assumptions!$B$4/K2)</f>
        <v/>
      </c>
    </row>
    <row r="3">
      <c r="A3" s="2" t="n">
        <v>2</v>
      </c>
      <c r="B3" s="13" t="inlineStr">
        <is>
          <t>TVS iQube 2.2 kWh</t>
        </is>
      </c>
      <c r="C3" s="2" t="inlineStr">
        <is>
          <t>TVS</t>
        </is>
      </c>
      <c r="D3" s="4" t="inlineStr">
        <is>
          <t>2.2 kWh</t>
        </is>
      </c>
      <c r="E3" s="14" t="inlineStr">
        <is>
          <t>EV</t>
        </is>
      </c>
      <c r="F3" s="6" t="n">
        <v>110</v>
      </c>
      <c r="G3" s="6" t="n">
        <v>770</v>
      </c>
      <c r="H3" s="6" t="n">
        <v>2.2</v>
      </c>
      <c r="I3" s="6" t="n">
        <v>4.4</v>
      </c>
      <c r="J3" s="6" t="n">
        <v>94</v>
      </c>
      <c r="K3" s="6" t="n">
        <v>75</v>
      </c>
      <c r="L3" s="6" t="n">
        <v>33</v>
      </c>
      <c r="M3" s="6" t="n">
        <v>75</v>
      </c>
      <c r="N3" s="6" t="inlineStr">
        <is>
          <t>⚠️ check</t>
        </is>
      </c>
      <c r="O3" s="7" t="n">
        <v>111000</v>
      </c>
      <c r="P3" s="7" t="n">
        <v>115968</v>
      </c>
      <c r="Q3" s="4" t="inlineStr">
        <is>
          <t>Thoothukudi listing (BikeWale)</t>
        </is>
      </c>
      <c r="R3" s="4" t="inlineStr">
        <is>
          <t>Battery/vehicle 3 yr/50k km; ext. to 5 yr/70k</t>
        </is>
      </c>
      <c r="S3" s="4" t="inlineStr">
        <is>
          <t>TVS dealers e.g. Nellai Trading Automobile, 16H/1 Palayamkottai Rd – 628008</t>
        </is>
      </c>
      <c r="T3" s="4" t="inlineStr">
        <is>
          <t>Listed – confirm iQube authorisation</t>
        </is>
      </c>
      <c r="U3" s="2" t="inlineStr">
        <is>
          <t>★★★★☆</t>
        </is>
      </c>
      <c r="V3" s="4" t="inlineStr">
        <is>
          <t>Proven EV, biggest local network, quick 0–40</t>
        </is>
      </c>
      <c r="W3" s="4" t="inlineStr">
        <is>
          <t>Price; modest 75 km real range</t>
        </is>
      </c>
      <c r="X3" s="2" t="inlineStr">
        <is>
          <t>★★★★☆</t>
        </is>
      </c>
      <c r="Y3" s="6" t="n">
        <v>4.5</v>
      </c>
      <c r="Z3" s="8">
        <f>IFERROR(P3/F3,"")</f>
        <v/>
      </c>
      <c r="AA3" s="9">
        <f>IF(E3="EV",IFERROR(K3/F3,""),"n/a")</f>
        <v/>
      </c>
      <c r="AB3" s="10">
        <f>IFERROR(VALUE(SUBSTITUTE(I3,"†",""))*1000/F3,"n/a")</f>
        <v/>
      </c>
      <c r="AC3" s="11">
        <f>F3-Assumptions!$B$8</f>
        <v/>
      </c>
      <c r="AD3" s="11">
        <f>IFERROR(VALUE(SUBSTITUTE(G3,"†",""))-Assumptions!$B$9,"n/a")</f>
        <v/>
      </c>
      <c r="AE3" s="12">
        <f>IF(E3="EV",L3/1000*Assumptions!$B$5,Assumptions!$B$4/K3)</f>
        <v/>
      </c>
    </row>
    <row r="4">
      <c r="A4" s="2" t="n">
        <v>3</v>
      </c>
      <c r="B4" s="3" t="inlineStr">
        <is>
          <t>TVS Jupiter 110</t>
        </is>
      </c>
      <c r="C4" s="2" t="inlineStr">
        <is>
          <t>TVS</t>
        </is>
      </c>
      <c r="D4" s="4" t="inlineStr">
        <is>
          <t>Drum</t>
        </is>
      </c>
      <c r="E4" s="5" t="inlineStr">
        <is>
          <t>Petrol</t>
        </is>
      </c>
      <c r="F4" s="6" t="n">
        <v>105</v>
      </c>
      <c r="G4" s="6" t="n">
        <v>770</v>
      </c>
      <c r="H4" s="6" t="n">
        <v>113.3</v>
      </c>
      <c r="I4" s="6" t="n">
        <v>5.9</v>
      </c>
      <c r="J4" s="6" t="n"/>
      <c r="K4" s="6" t="n">
        <v>50</v>
      </c>
      <c r="L4" s="6" t="n"/>
      <c r="M4" s="6" t="inlineStr">
        <is>
          <t>85†</t>
        </is>
      </c>
      <c r="N4" s="6" t="n">
        <v>33</v>
      </c>
      <c r="O4" s="7" t="n">
        <v>73400</v>
      </c>
      <c r="P4" s="7" t="n">
        <v>101049</v>
      </c>
      <c r="Q4" s="4" t="inlineStr">
        <is>
          <t>Theni (neighbouring) listing used as proxy</t>
        </is>
      </c>
      <c r="R4" s="4" t="inlineStr">
        <is>
          <t>5 yr / 50,000 km</t>
        </is>
      </c>
      <c r="S4" s="4" t="inlineStr">
        <is>
          <t>Nellai Trading Automobile / Mizbah Motors (Ettayapuram Main Rd – 628003)</t>
        </is>
      </c>
      <c r="T4" s="4" t="inlineStr">
        <is>
          <t>Listed</t>
        </is>
      </c>
      <c r="U4" s="2" t="inlineStr">
        <is>
          <t>★★★★★</t>
        </is>
      </c>
      <c r="V4" s="4" t="inlineStr">
        <is>
          <t>33 L two-helmet boot, iGO assist, front fuel filler†</t>
        </is>
      </c>
      <c r="W4" s="4" t="inlineStr">
        <is>
          <t>Costs more than Pleasure+</t>
        </is>
      </c>
      <c r="X4" s="2" t="inlineStr">
        <is>
          <t>★★★★☆</t>
        </is>
      </c>
      <c r="Y4" s="6" t="n">
        <v>4.5</v>
      </c>
      <c r="Z4" s="8">
        <f>IFERROR(P4/F4,"")</f>
        <v/>
      </c>
      <c r="AA4" s="9">
        <f>IF(E4="EV",IFERROR(K4/F4,""),"n/a")</f>
        <v/>
      </c>
      <c r="AB4" s="10">
        <f>IFERROR(VALUE(SUBSTITUTE(I4,"†",""))*1000/F4,"n/a")</f>
        <v/>
      </c>
      <c r="AC4" s="11">
        <f>F4-Assumptions!$B$8</f>
        <v/>
      </c>
      <c r="AD4" s="11">
        <f>IFERROR(VALUE(SUBSTITUTE(G4,"†",""))-Assumptions!$B$9,"n/a")</f>
        <v/>
      </c>
      <c r="AE4" s="12">
        <f>IF(E4="EV",L4/1000*Assumptions!$B$5,Assumptions!$B$4/K4)</f>
        <v/>
      </c>
    </row>
    <row r="5">
      <c r="A5" s="2" t="n">
        <v>4</v>
      </c>
      <c r="B5" s="13" t="inlineStr">
        <is>
          <t>Bajaj Chetak C25</t>
        </is>
      </c>
      <c r="C5" s="2" t="inlineStr">
        <is>
          <t>Bajaj</t>
        </is>
      </c>
      <c r="D5" s="4" t="inlineStr">
        <is>
          <t>C25 (C2501)</t>
        </is>
      </c>
      <c r="E5" s="14" t="inlineStr">
        <is>
          <t>EV</t>
        </is>
      </c>
      <c r="F5" s="6" t="n">
        <v>108</v>
      </c>
      <c r="G5" s="6" t="n">
        <v>763</v>
      </c>
      <c r="H5" s="6" t="n">
        <v>2.5</v>
      </c>
      <c r="I5" s="6" t="n">
        <v>2.2</v>
      </c>
      <c r="J5" s="6" t="n">
        <v>113</v>
      </c>
      <c r="K5" s="6" t="n">
        <v>90</v>
      </c>
      <c r="L5" s="6" t="n">
        <v>31</v>
      </c>
      <c r="M5" s="6" t="n">
        <v>55</v>
      </c>
      <c r="N5" s="6" t="n">
        <v>25</v>
      </c>
      <c r="O5" s="7" t="n">
        <v>91399</v>
      </c>
      <c r="P5" s="7" t="n">
        <v>96500</v>
      </c>
      <c r="Q5" s="4" t="inlineStr">
        <is>
          <t>Thoothukudi listing</t>
        </is>
      </c>
      <c r="R5" s="4" t="inlineStr">
        <is>
          <t>Battery 3 yr/50k km; ext. to 5 yr/70k</t>
        </is>
      </c>
      <c r="S5" s="4" t="inlineStr">
        <is>
          <t>Susee Bajaj, 99-A Ettayapuram Rd – 628001 (Chetak not confirmed)</t>
        </is>
      </c>
      <c r="T5" s="4" t="inlineStr">
        <is>
          <t>Dealer/service availability not confirmed (Chetak)</t>
        </is>
      </c>
      <c r="U5" s="2" t="inlineStr">
        <is>
          <t>★★★☆☆</t>
        </is>
      </c>
      <c r="V5" s="4" t="inlineStr">
        <is>
          <t>Cheapest sensible EV, metal body, ~90 km real</t>
        </is>
      </c>
      <c r="W5" s="4" t="inlineStr">
        <is>
          <t>55 km/h cap; Bajaj EV service complaints</t>
        </is>
      </c>
      <c r="X5" s="2" t="inlineStr">
        <is>
          <t>★★★★☆</t>
        </is>
      </c>
      <c r="Y5" s="6" t="n">
        <v>4</v>
      </c>
      <c r="Z5" s="8">
        <f>IFERROR(P5/F5,"")</f>
        <v/>
      </c>
      <c r="AA5" s="9">
        <f>IF(E5="EV",IFERROR(K5/F5,""),"n/a")</f>
        <v/>
      </c>
      <c r="AB5" s="10">
        <f>IFERROR(VALUE(SUBSTITUTE(I5,"†",""))*1000/F5,"n/a")</f>
        <v/>
      </c>
      <c r="AC5" s="11">
        <f>F5-Assumptions!$B$8</f>
        <v/>
      </c>
      <c r="AD5" s="11">
        <f>IFERROR(VALUE(SUBSTITUTE(G5,"†",""))-Assumptions!$B$9,"n/a")</f>
        <v/>
      </c>
      <c r="AE5" s="12">
        <f>IF(E5="EV",L5/1000*Assumptions!$B$5,Assumptions!$B$4/K5)</f>
        <v/>
      </c>
    </row>
    <row r="6">
      <c r="A6" s="2" t="n">
        <v>5</v>
      </c>
      <c r="B6" s="3" t="inlineStr">
        <is>
          <t>Hero Pleasure+ XTEC</t>
        </is>
      </c>
      <c r="C6" s="2" t="inlineStr">
        <is>
          <t>Hero</t>
        </is>
      </c>
      <c r="D6" s="4" t="inlineStr">
        <is>
          <t>LX (XTEC ZX ₹93,557)</t>
        </is>
      </c>
      <c r="E6" s="5" t="inlineStr">
        <is>
          <t>Petrol</t>
        </is>
      </c>
      <c r="F6" s="6" t="n">
        <v>104</v>
      </c>
      <c r="G6" s="6" t="n">
        <v>765</v>
      </c>
      <c r="H6" s="6" t="n">
        <v>110.9</v>
      </c>
      <c r="I6" s="6" t="n">
        <v>5.9</v>
      </c>
      <c r="J6" s="6" t="n">
        <v>52</v>
      </c>
      <c r="K6" s="6" t="n">
        <v>50</v>
      </c>
      <c r="L6" s="6" t="n"/>
      <c r="M6" s="6" t="n">
        <v>75</v>
      </c>
      <c r="N6" s="6" t="n"/>
      <c r="O6" s="7" t="n">
        <v>69766</v>
      </c>
      <c r="P6" s="7" t="n">
        <v>86556</v>
      </c>
      <c r="Q6" s="4" t="inlineStr">
        <is>
          <t>Thoothukudi listing (Bikes24)</t>
        </is>
      </c>
      <c r="R6" s="4" t="inlineStr">
        <is>
          <t>Hero std 5 yr†</t>
        </is>
      </c>
      <c r="S6" s="4" t="inlineStr">
        <is>
          <t>Arvinth Auto Agency, 3/201 Korampallam – 628101, 93550 29428</t>
        </is>
      </c>
      <c r="T6" s="4" t="inlineStr">
        <is>
          <t>Listed</t>
        </is>
      </c>
      <c r="U6" s="2" t="inlineStr">
        <is>
          <t>★★★★☆</t>
        </is>
      </c>
      <c r="V6" s="4" t="inlineStr">
        <is>
          <t>Cheapest; feels like your Pleasure; LED+Bluetooth (XTEC)</t>
        </is>
      </c>
      <c r="W6" s="4" t="inlineStr">
        <is>
          <t>Basic chassis, drum brakes</t>
        </is>
      </c>
      <c r="X6" s="2" t="inlineStr">
        <is>
          <t>★★★★☆</t>
        </is>
      </c>
      <c r="Y6" s="6" t="n">
        <v>4</v>
      </c>
      <c r="Z6" s="8">
        <f>IFERROR(P6/F6,"")</f>
        <v/>
      </c>
      <c r="AA6" s="9">
        <f>IF(E6="EV",IFERROR(K6/F6,""),"n/a")</f>
        <v/>
      </c>
      <c r="AB6" s="10">
        <f>IFERROR(VALUE(SUBSTITUTE(I6,"†",""))*1000/F6,"n/a")</f>
        <v/>
      </c>
      <c r="AC6" s="11">
        <f>F6-Assumptions!$B$8</f>
        <v/>
      </c>
      <c r="AD6" s="11">
        <f>IFERROR(VALUE(SUBSTITUTE(G6,"†",""))-Assumptions!$B$9,"n/a")</f>
        <v/>
      </c>
      <c r="AE6" s="12">
        <f>IF(E6="EV",L6/1000*Assumptions!$B$5,Assumptions!$B$4/K6)</f>
        <v/>
      </c>
    </row>
    <row r="7">
      <c r="A7" s="2" t="n">
        <v>6</v>
      </c>
      <c r="B7" s="13" t="inlineStr">
        <is>
          <t>TVS Orbiter V1</t>
        </is>
      </c>
      <c r="C7" s="2" t="inlineStr">
        <is>
          <t>TVS</t>
        </is>
      </c>
      <c r="D7" s="4" t="inlineStr">
        <is>
          <t>V1 1.8 kWh</t>
        </is>
      </c>
      <c r="E7" s="14" t="inlineStr">
        <is>
          <t>EV</t>
        </is>
      </c>
      <c r="F7" s="6" t="n">
        <v>101</v>
      </c>
      <c r="G7" s="6" t="n">
        <v>760</v>
      </c>
      <c r="H7" s="6" t="n">
        <v>1.8</v>
      </c>
      <c r="I7" s="6" t="n"/>
      <c r="J7" s="6" t="n">
        <v>86</v>
      </c>
      <c r="K7" s="6" t="n">
        <v>70</v>
      </c>
      <c r="L7" s="6" t="n">
        <v>30</v>
      </c>
      <c r="M7" s="6" t="n">
        <v>68</v>
      </c>
      <c r="N7" s="6" t="n">
        <v>34</v>
      </c>
      <c r="O7" s="7" t="n">
        <v>88250</v>
      </c>
      <c r="P7" s="7" t="n">
        <v>97000</v>
      </c>
      <c r="Q7" s="4" t="inlineStr">
        <is>
          <t>Est. (ex-showroom ✅ + ins./reg. est.)</t>
        </is>
      </c>
      <c r="R7" s="4" t="inlineStr">
        <is>
          <t>3 yr† (confirm)</t>
        </is>
      </c>
      <c r="S7" s="4" t="inlineStr">
        <is>
          <t>TVS dealers (Orbiter listing not confirmed)</t>
        </is>
      </c>
      <c r="T7" s="4" t="inlineStr">
        <is>
          <t>Not confirmed</t>
        </is>
      </c>
      <c r="U7" s="2" t="inlineStr">
        <is>
          <t>★★★★☆</t>
        </is>
      </c>
      <c r="V7" s="4" t="inlineStr">
        <is>
          <t>Lightest EV, 34 L boot, 14-inch front†</t>
        </is>
      </c>
      <c r="W7" s="4" t="inlineStr">
        <is>
          <t>Small battery; new model</t>
        </is>
      </c>
      <c r="X7" s="2" t="inlineStr">
        <is>
          <t>★★★☆☆</t>
        </is>
      </c>
      <c r="Y7" s="6" t="n">
        <v>3.5</v>
      </c>
      <c r="Z7" s="8">
        <f>IFERROR(P7/F7,"")</f>
        <v/>
      </c>
      <c r="AA7" s="9">
        <f>IF(E7="EV",IFERROR(K7/F7,""),"n/a")</f>
        <v/>
      </c>
      <c r="AB7" s="10">
        <f>IFERROR(VALUE(SUBSTITUTE(I7,"†",""))*1000/F7,"n/a")</f>
        <v/>
      </c>
      <c r="AC7" s="11">
        <f>F7-Assumptions!$B$8</f>
        <v/>
      </c>
      <c r="AD7" s="11">
        <f>IFERROR(VALUE(SUBSTITUTE(G7,"†",""))-Assumptions!$B$9,"n/a")</f>
        <v/>
      </c>
      <c r="AE7" s="12">
        <f>IF(E7="EV",L7/1000*Assumptions!$B$5,Assumptions!$B$4/K7)</f>
        <v/>
      </c>
    </row>
    <row r="8">
      <c r="A8" s="2" t="n">
        <v>7</v>
      </c>
      <c r="B8" s="13" t="inlineStr">
        <is>
          <t>Ather Rizta S</t>
        </is>
      </c>
      <c r="C8" s="2" t="inlineStr">
        <is>
          <t>Ather</t>
        </is>
      </c>
      <c r="D8" s="4" t="inlineStr">
        <is>
          <t>S 2.9 kWh (or 2.7 kWh LFP)</t>
        </is>
      </c>
      <c r="E8" s="14" t="inlineStr">
        <is>
          <t>EV</t>
        </is>
      </c>
      <c r="F8" s="6" t="n">
        <v>119</v>
      </c>
      <c r="G8" s="6" t="n">
        <v>780</v>
      </c>
      <c r="H8" s="6" t="n">
        <v>2.9</v>
      </c>
      <c r="I8" s="6" t="n">
        <v>4.3</v>
      </c>
      <c r="J8" s="6" t="n">
        <v>123</v>
      </c>
      <c r="K8" s="6" t="n">
        <v>105</v>
      </c>
      <c r="L8" s="6" t="n">
        <v>31</v>
      </c>
      <c r="M8" s="6" t="inlineStr">
        <is>
          <t>80†</t>
        </is>
      </c>
      <c r="N8" s="6" t="n">
        <v>34</v>
      </c>
      <c r="O8" s="7" t="n">
        <v>121499</v>
      </c>
      <c r="P8" s="7" t="n">
        <v>128000</v>
      </c>
      <c r="Q8" s="4" t="inlineStr">
        <is>
          <t>Est. (Ather site ex-showroom ✅ + ins./reg.)</t>
        </is>
      </c>
      <c r="R8" s="4" t="inlineStr">
        <is>
          <t>Battery 5 yr†; Eight70 8-yr option</t>
        </is>
      </c>
      <c r="S8" s="4" t="inlineStr">
        <is>
          <t>Ather – Palayamkottai Rd, 7B/7C/7D – 628008</t>
        </is>
      </c>
      <c r="T8" s="4" t="inlineStr">
        <is>
          <t>Listed</t>
        </is>
      </c>
      <c r="U8" s="2" t="inlineStr">
        <is>
          <t>★★★★☆</t>
        </is>
      </c>
      <c r="V8" s="4" t="inlineStr">
        <is>
          <t>Best range, comfort, software</t>
        </is>
      </c>
      <c r="W8" s="4" t="inlineStr">
        <is>
          <t>Heaviest (+15 kg) &amp; costliest</t>
        </is>
      </c>
      <c r="X8" s="2" t="inlineStr">
        <is>
          <t>★★★☆☆</t>
        </is>
      </c>
      <c r="Y8" s="6" t="n">
        <v>3.5</v>
      </c>
      <c r="Z8" s="8">
        <f>IFERROR(P8/F8,"")</f>
        <v/>
      </c>
      <c r="AA8" s="9">
        <f>IF(E8="EV",IFERROR(K8/F8,""),"n/a")</f>
        <v/>
      </c>
      <c r="AB8" s="10">
        <f>IFERROR(VALUE(SUBSTITUTE(I8,"†",""))*1000/F8,"n/a")</f>
        <v/>
      </c>
      <c r="AC8" s="11">
        <f>F8-Assumptions!$B$8</f>
        <v/>
      </c>
      <c r="AD8" s="11">
        <f>IFERROR(VALUE(SUBSTITUTE(G8,"†",""))-Assumptions!$B$9,"n/a")</f>
        <v/>
      </c>
      <c r="AE8" s="12">
        <f>IF(E8="EV",L8/1000*Assumptions!$B$5,Assumptions!$B$4/K8)</f>
        <v/>
      </c>
    </row>
    <row r="9">
      <c r="A9" s="2" t="n">
        <v>8</v>
      </c>
      <c r="B9" s="3" t="inlineStr">
        <is>
          <t>Suzuki Access 125</t>
        </is>
      </c>
      <c r="C9" s="2" t="inlineStr">
        <is>
          <t>Suzuki</t>
        </is>
      </c>
      <c r="D9" s="4" t="inlineStr">
        <is>
          <t>Standard</t>
        </is>
      </c>
      <c r="E9" s="5" t="inlineStr">
        <is>
          <t>Petrol</t>
        </is>
      </c>
      <c r="F9" s="6" t="n">
        <v>103</v>
      </c>
      <c r="G9" s="6" t="n">
        <v>773</v>
      </c>
      <c r="H9" s="6" t="n">
        <v>124</v>
      </c>
      <c r="I9" s="6" t="n">
        <v>6.4</v>
      </c>
      <c r="J9" s="6" t="n">
        <v>45</v>
      </c>
      <c r="K9" s="6" t="n">
        <v>47</v>
      </c>
      <c r="L9" s="6" t="n"/>
      <c r="M9" s="6" t="n">
        <v>90</v>
      </c>
      <c r="N9" s="6" t="inlineStr">
        <is>
          <t>24†</t>
        </is>
      </c>
      <c r="O9" s="7" t="n">
        <v>82185</v>
      </c>
      <c r="P9" s="7" t="n">
        <v>93220</v>
      </c>
      <c r="Q9" s="4" t="inlineStr">
        <is>
          <t>Thoothukudi listing (low end of range)</t>
        </is>
      </c>
      <c r="R9" s="4" t="inlineStr">
        <is>
          <t>Std + extended† (confirm)</t>
        </is>
      </c>
      <c r="S9" s="4" t="inlineStr">
        <is>
          <t>Welcome Motors, 99 College Teachers Colony, Korampallam – 628101, 73737 06007</t>
        </is>
      </c>
      <c r="T9" s="4" t="inlineStr">
        <is>
          <t>Listed</t>
        </is>
      </c>
      <c r="U9" s="2" t="inlineStr">
        <is>
          <t>★★★☆☆</t>
        </is>
      </c>
      <c r="V9" s="4" t="inlineStr">
        <is>
          <t>Smooth 125cc, light</t>
        </is>
      </c>
      <c r="W9" s="4" t="inlineStr">
        <is>
          <t>Single local outlet; lower mileage</t>
        </is>
      </c>
      <c r="X9" s="2" t="inlineStr">
        <is>
          <t>★★★☆☆</t>
        </is>
      </c>
      <c r="Y9" s="6" t="n">
        <v>3.5</v>
      </c>
      <c r="Z9" s="8">
        <f>IFERROR(P9/F9,"")</f>
        <v/>
      </c>
      <c r="AA9" s="9">
        <f>IF(E9="EV",IFERROR(K9/F9,""),"n/a")</f>
        <v/>
      </c>
      <c r="AB9" s="10">
        <f>IFERROR(VALUE(SUBSTITUTE(I9,"†",""))*1000/F9,"n/a")</f>
        <v/>
      </c>
      <c r="AC9" s="11">
        <f>F9-Assumptions!$B$8</f>
        <v/>
      </c>
      <c r="AD9" s="11">
        <f>IFERROR(VALUE(SUBSTITUTE(G9,"†",""))-Assumptions!$B$9,"n/a")</f>
        <v/>
      </c>
      <c r="AE9" s="12">
        <f>IF(E9="EV",L9/1000*Assumptions!$B$5,Assumptions!$B$4/K9)</f>
        <v/>
      </c>
    </row>
    <row r="10">
      <c r="A10" s="2" t="n">
        <v>9</v>
      </c>
      <c r="B10" s="3" t="inlineStr">
        <is>
          <t>Yamaha Fascino 125 Fi Hybrid</t>
        </is>
      </c>
      <c r="C10" s="2" t="inlineStr">
        <is>
          <t>Yamaha</t>
        </is>
      </c>
      <c r="D10" s="4" t="inlineStr">
        <is>
          <t>Drum</t>
        </is>
      </c>
      <c r="E10" s="5" t="inlineStr">
        <is>
          <t>Petrol</t>
        </is>
      </c>
      <c r="F10" s="6" t="n">
        <v>99</v>
      </c>
      <c r="G10" s="6" t="inlineStr">
        <is>
          <t>790†</t>
        </is>
      </c>
      <c r="H10" s="6" t="n">
        <v>125</v>
      </c>
      <c r="I10" s="6" t="inlineStr">
        <is>
          <t>6.0†</t>
        </is>
      </c>
      <c r="J10" s="6" t="n">
        <v>49</v>
      </c>
      <c r="K10" s="6" t="n">
        <v>52</v>
      </c>
      <c r="L10" s="6" t="n"/>
      <c r="M10" s="6" t="inlineStr">
        <is>
          <t>90†</t>
        </is>
      </c>
      <c r="N10" s="6" t="inlineStr">
        <is>
          <t>21†</t>
        </is>
      </c>
      <c r="O10" s="7" t="n">
        <v>81870</v>
      </c>
      <c r="P10" s="7" t="n">
        <v>96344</v>
      </c>
      <c r="Q10" s="4" t="inlineStr">
        <is>
          <t>Thoothukudi listing (ZigWheels, 2 Aug 2026)</t>
        </is>
      </c>
      <c r="R10" s="4" t="inlineStr">
        <is>
          <t>Confirm at dealer†</t>
        </is>
      </c>
      <c r="S10" s="4" t="inlineStr">
        <is>
          <t>Lakhmi Motors, Muthu Mahal, Tiruchendur Rd – 628216, 73737 30152</t>
        </is>
      </c>
      <c r="T10" s="4" t="inlineStr">
        <is>
          <t>Listed</t>
        </is>
      </c>
      <c r="U10" s="2" t="inlineStr">
        <is>
          <t>★★★☆☆</t>
        </is>
      </c>
      <c r="V10" s="4" t="inlineStr">
        <is>
          <t>Lightest petrol (99 kg), frugal hybrid</t>
        </is>
      </c>
      <c r="W10" s="4" t="inlineStr">
        <is>
          <t>Taller seat, small boot, cramped pillion</t>
        </is>
      </c>
      <c r="X10" s="2" t="inlineStr">
        <is>
          <t>★★★☆☆</t>
        </is>
      </c>
      <c r="Y10" s="6" t="n">
        <v>3</v>
      </c>
      <c r="Z10" s="8">
        <f>IFERROR(P10/F10,"")</f>
        <v/>
      </c>
      <c r="AA10" s="9">
        <f>IF(E10="EV",IFERROR(K10/F10,""),"n/a")</f>
        <v/>
      </c>
      <c r="AB10" s="10">
        <f>IFERROR(VALUE(SUBSTITUTE(I10,"†",""))*1000/F10,"n/a")</f>
        <v/>
      </c>
      <c r="AC10" s="11">
        <f>F10-Assumptions!$B$8</f>
        <v/>
      </c>
      <c r="AD10" s="11">
        <f>IFERROR(VALUE(SUBSTITUTE(G10,"†",""))-Assumptions!$B$9,"n/a")</f>
        <v/>
      </c>
      <c r="AE10" s="12">
        <f>IF(E10="EV",L10/1000*Assumptions!$B$5,Assumptions!$B$4/K10)</f>
        <v/>
      </c>
    </row>
    <row r="11">
      <c r="A11" s="2" t="n">
        <v>10</v>
      </c>
      <c r="B11" s="13" t="inlineStr">
        <is>
          <t>Hero Vida VX2 Go</t>
        </is>
      </c>
      <c r="C11" s="2" t="inlineStr">
        <is>
          <t>Hero Vida</t>
        </is>
      </c>
      <c r="D11" s="4" t="inlineStr">
        <is>
          <t>Go 2.2 kWh (removable)</t>
        </is>
      </c>
      <c r="E11" s="14" t="inlineStr">
        <is>
          <t>EV</t>
        </is>
      </c>
      <c r="F11" s="6" t="n">
        <v>115</v>
      </c>
      <c r="G11" s="6" t="n">
        <v>777</v>
      </c>
      <c r="H11" s="6" t="n">
        <v>2.2</v>
      </c>
      <c r="I11" s="6" t="n">
        <v>6</v>
      </c>
      <c r="J11" s="6" t="inlineStr">
        <is>
          <t>92†</t>
        </is>
      </c>
      <c r="K11" s="6" t="n">
        <v>68</v>
      </c>
      <c r="L11" s="6" t="n">
        <v>36</v>
      </c>
      <c r="M11" s="6" t="n">
        <v>70</v>
      </c>
      <c r="N11" s="6" t="n">
        <v>33.2</v>
      </c>
      <c r="O11" s="7" t="n">
        <v>99490</v>
      </c>
      <c r="P11" s="7" t="n">
        <v>105000</v>
      </c>
      <c r="Q11" s="4" t="inlineStr">
        <is>
          <t>Est. ⚠️ (listing inconsistent: ex ₹99,490 vs on-road ₹91,353)</t>
        </is>
      </c>
      <c r="R11" s="4" t="inlineStr">
        <is>
          <t>Battery 5 yr/50k km (ext. 60k)</t>
        </is>
      </c>
      <c r="S11" s="4" t="inlineStr">
        <is>
          <t>Arvinth Auto Agency (Hero) – Vida not confirmed</t>
        </is>
      </c>
      <c r="T11" s="4" t="inlineStr">
        <is>
          <t>Dealer/service availability not confirmed</t>
        </is>
      </c>
      <c r="U11" s="2" t="inlineStr">
        <is>
          <t>★★☆☆☆</t>
        </is>
      </c>
      <c r="V11" s="4" t="inlineStr">
        <is>
          <t>Removable battery, 5-yr battery warranty</t>
        </is>
      </c>
      <c r="W11" s="4" t="inlineStr">
        <is>
          <t>Local Vida service unconfirmed</t>
        </is>
      </c>
      <c r="X11" s="2" t="inlineStr">
        <is>
          <t>★★★☆☆</t>
        </is>
      </c>
      <c r="Y11" s="6" t="n">
        <v>3</v>
      </c>
      <c r="Z11" s="8">
        <f>IFERROR(P11/F11,"")</f>
        <v/>
      </c>
      <c r="AA11" s="9">
        <f>IF(E11="EV",IFERROR(K11/F11,""),"n/a")</f>
        <v/>
      </c>
      <c r="AB11" s="10">
        <f>IFERROR(VALUE(SUBSTITUTE(I11,"†",""))*1000/F11,"n/a")</f>
        <v/>
      </c>
      <c r="AC11" s="11">
        <f>F11-Assumptions!$B$8</f>
        <v/>
      </c>
      <c r="AD11" s="11">
        <f>IFERROR(VALUE(SUBSTITUTE(G11,"†",""))-Assumptions!$B$9,"n/a")</f>
        <v/>
      </c>
      <c r="AE11" s="12">
        <f>IF(E11="EV",L11/1000*Assumptions!$B$5,Assumptions!$B$4/K11)</f>
        <v/>
      </c>
    </row>
    <row r="12">
      <c r="A12" s="15" t="n"/>
      <c r="B12" s="15" t="n"/>
      <c r="C12" s="15" t="n"/>
      <c r="D12" s="15" t="n"/>
      <c r="E12" s="15" t="n"/>
      <c r="F12" s="15" t="n"/>
      <c r="G12" s="15" t="n"/>
      <c r="H12" s="15" t="n"/>
      <c r="I12" s="15" t="n"/>
      <c r="J12" s="15" t="n"/>
      <c r="K12" s="15" t="n"/>
      <c r="L12" s="15" t="n"/>
      <c r="M12" s="15" t="n"/>
      <c r="N12" s="15" t="n"/>
      <c r="O12" s="15" t="n"/>
      <c r="P12" s="15" t="n"/>
      <c r="Q12" s="15" t="n"/>
      <c r="R12" s="15" t="n"/>
      <c r="S12" s="15" t="n"/>
      <c r="T12" s="15" t="n"/>
      <c r="U12" s="15" t="n"/>
      <c r="V12" s="15" t="n"/>
      <c r="W12" s="15" t="n"/>
      <c r="X12" s="15" t="n"/>
      <c r="Y12" s="15" t="n"/>
      <c r="Z12" s="15" t="n"/>
      <c r="AA12" s="15" t="n"/>
      <c r="AB12" s="15" t="n"/>
      <c r="AC12" s="15" t="n"/>
      <c r="AD12" s="15" t="n"/>
      <c r="AE12" s="15" t="n"/>
    </row>
    <row r="13">
      <c r="A13" s="15" t="n"/>
      <c r="B13" s="16" t="inlineStr">
        <is>
          <t>Notes:</t>
        </is>
      </c>
      <c r="C13" s="15" t="n"/>
      <c r="D13" s="15" t="n"/>
      <c r="E13" s="15" t="n"/>
      <c r="F13" s="15" t="n"/>
      <c r="G13" s="15" t="n"/>
      <c r="H13" s="15" t="n"/>
      <c r="I13" s="15" t="n"/>
      <c r="J13" s="15" t="n"/>
      <c r="K13" s="15" t="n"/>
      <c r="L13" s="15" t="n"/>
      <c r="M13" s="15" t="n"/>
      <c r="N13" s="15" t="n"/>
      <c r="O13" s="15" t="n"/>
      <c r="P13" s="15" t="n"/>
      <c r="Q13" s="15" t="n"/>
      <c r="R13" s="15" t="n"/>
      <c r="S13" s="15" t="n"/>
      <c r="T13" s="15" t="n"/>
      <c r="U13" s="15" t="n"/>
      <c r="V13" s="15" t="n"/>
      <c r="W13" s="15" t="n"/>
      <c r="X13" s="15" t="n"/>
      <c r="Y13" s="15" t="n"/>
      <c r="Z13" s="15" t="n"/>
      <c r="AA13" s="15" t="n"/>
      <c r="AB13" s="15" t="n"/>
      <c r="AC13" s="15" t="n"/>
      <c r="AD13" s="15" t="n"/>
      <c r="AE13" s="15" t="n"/>
    </row>
    <row r="14">
      <c r="A14" s="15" t="n"/>
      <c r="B14" s="17" t="inlineStr">
        <is>
          <t>Rank = overall rank across all 10 (see Rankings sheet for separate EV/petrol rankings).</t>
        </is>
      </c>
      <c r="C14" s="15" t="n"/>
      <c r="D14" s="15" t="n"/>
      <c r="E14" s="15" t="n"/>
      <c r="F14" s="15" t="n"/>
      <c r="G14" s="15" t="n"/>
      <c r="H14" s="15" t="n"/>
      <c r="I14" s="15" t="n"/>
      <c r="J14" s="15" t="n"/>
      <c r="K14" s="15" t="n"/>
      <c r="L14" s="15" t="n"/>
      <c r="M14" s="15" t="n"/>
      <c r="N14" s="15" t="n"/>
      <c r="O14" s="15" t="n"/>
      <c r="P14" s="15" t="n"/>
      <c r="Q14" s="15" t="n"/>
      <c r="R14" s="15" t="n"/>
      <c r="S14" s="15" t="n"/>
      <c r="T14" s="15" t="n"/>
      <c r="U14" s="15" t="n"/>
      <c r="V14" s="15" t="n"/>
      <c r="W14" s="15" t="n"/>
      <c r="X14" s="15" t="n"/>
      <c r="Y14" s="15" t="n"/>
      <c r="Z14" s="15" t="n"/>
      <c r="AA14" s="15" t="n"/>
      <c r="AB14" s="15" t="n"/>
      <c r="AC14" s="15" t="n"/>
      <c r="AD14" s="15" t="n"/>
      <c r="AE14" s="15" t="n"/>
    </row>
    <row r="15">
      <c r="A15" s="15" t="n"/>
      <c r="B15" s="17" t="inlineStr">
        <is>
          <t>Columns Z–AE are formulas. ₹/kg = On-road ÷ Kerb weight. Range÷kg uses REAL-WORLD range. W/kg = peak power ÷ kerb weight (EV torque is instant, so EVs feel quicker than W/kg suggests).</t>
        </is>
      </c>
      <c r="C15" s="15" t="n"/>
      <c r="D15" s="15" t="n"/>
      <c r="E15" s="15" t="n"/>
      <c r="F15" s="15" t="n"/>
      <c r="G15" s="15" t="n"/>
      <c r="H15" s="15" t="n"/>
      <c r="I15" s="15" t="n"/>
      <c r="J15" s="15" t="n"/>
      <c r="K15" s="15" t="n"/>
      <c r="L15" s="15" t="n"/>
      <c r="M15" s="15" t="n"/>
      <c r="N15" s="15" t="n"/>
      <c r="O15" s="15" t="n"/>
      <c r="P15" s="15" t="n"/>
      <c r="Q15" s="15" t="n"/>
      <c r="R15" s="15" t="n"/>
      <c r="S15" s="15" t="n"/>
      <c r="T15" s="15" t="n"/>
      <c r="U15" s="15" t="n"/>
      <c r="V15" s="15" t="n"/>
      <c r="W15" s="15" t="n"/>
      <c r="X15" s="15" t="n"/>
      <c r="Y15" s="15" t="n"/>
      <c r="Z15" s="15" t="n"/>
      <c r="AA15" s="15" t="n"/>
      <c r="AB15" s="15" t="n"/>
      <c r="AC15" s="15" t="n"/>
      <c r="AD15" s="15" t="n"/>
      <c r="AE15" s="15" t="n"/>
    </row>
    <row r="16">
      <c r="A16" s="15" t="n"/>
      <c r="B16" s="17" t="inlineStr">
        <is>
          <t>Baseline: your Hero Honda Pleasure – 104 kg, 765 mm seat, 102 cc / 6.7 bhp, drum/drum brakes.</t>
        </is>
      </c>
      <c r="C16" s="15" t="n"/>
      <c r="D16" s="15" t="n"/>
      <c r="E16" s="15" t="n"/>
      <c r="F16" s="15" t="n"/>
      <c r="G16" s="15" t="n"/>
      <c r="H16" s="15" t="n"/>
      <c r="I16" s="15" t="n"/>
      <c r="J16" s="15" t="n"/>
      <c r="K16" s="15" t="n"/>
      <c r="L16" s="15" t="n"/>
      <c r="M16" s="15" t="n"/>
      <c r="N16" s="15" t="n"/>
      <c r="O16" s="15" t="n"/>
      <c r="P16" s="15" t="n"/>
      <c r="Q16" s="15" t="n"/>
      <c r="R16" s="15" t="n"/>
      <c r="S16" s="15" t="n"/>
      <c r="T16" s="15" t="n"/>
      <c r="U16" s="15" t="n"/>
      <c r="V16" s="15" t="n"/>
      <c r="W16" s="15" t="n"/>
      <c r="X16" s="15" t="n"/>
      <c r="Y16" s="15" t="n"/>
      <c r="Z16" s="15" t="n"/>
      <c r="AA16" s="15" t="n"/>
      <c r="AB16" s="15" t="n"/>
      <c r="AC16" s="15" t="n"/>
      <c r="AD16" s="15" t="n"/>
      <c r="AE16" s="15" t="n"/>
    </row>
    <row r="17">
      <c r="A17" s="15" t="n"/>
      <c r="B17" s="17" t="inlineStr">
        <is>
          <t>Real-world EV range: iQube 75 km (TVS), Chetak C25 ~90 km (Autocar), Rizta 2.9 ~105 km (Autocar); Orbiter V1 &amp; Vida = estimates. Petrol mileage: estimates from road tests/owner reports.</t>
        </is>
      </c>
      <c r="C17" s="15" t="n"/>
      <c r="D17" s="15" t="n"/>
      <c r="E17" s="15" t="n"/>
      <c r="F17" s="15" t="n"/>
      <c r="G17" s="15" t="n"/>
      <c r="H17" s="15" t="n"/>
      <c r="I17" s="15" t="n"/>
      <c r="J17" s="15" t="n"/>
      <c r="K17" s="15" t="n"/>
      <c r="L17" s="15" t="n"/>
      <c r="M17" s="15" t="n"/>
      <c r="N17" s="15" t="n"/>
      <c r="O17" s="15" t="n"/>
      <c r="P17" s="15" t="n"/>
      <c r="Q17" s="15" t="n"/>
      <c r="R17" s="15" t="n"/>
      <c r="S17" s="15" t="n"/>
      <c r="T17" s="15" t="n"/>
      <c r="U17" s="15" t="n"/>
      <c r="V17" s="15" t="n"/>
      <c r="W17" s="15" t="n"/>
      <c r="X17" s="15" t="n"/>
      <c r="Y17" s="15" t="n"/>
      <c r="Z17" s="15" t="n"/>
      <c r="AA17" s="15" t="n"/>
      <c r="AB17" s="15" t="n"/>
      <c r="AC17" s="15" t="n"/>
      <c r="AD17" s="15" t="n"/>
      <c r="AE17" s="15" t="n"/>
    </row>
    <row r="18">
      <c r="A18" s="15" t="n"/>
      <c r="B18" s="17" t="inlineStr">
        <is>
          <t>Honourable mention (not ranked): Honda QC1 – 89.5 kg, ₹97,274 on-road Thoothukudi listing, 1.5 kWh, ~50 km/h; local sale/service not confirmed.</t>
        </is>
      </c>
      <c r="C18" s="15" t="n"/>
      <c r="D18" s="15" t="n"/>
      <c r="E18" s="15" t="n"/>
      <c r="F18" s="15" t="n"/>
      <c r="G18" s="15" t="n"/>
      <c r="H18" s="15" t="n"/>
      <c r="I18" s="15" t="n"/>
      <c r="J18" s="15" t="n"/>
      <c r="K18" s="15" t="n"/>
      <c r="L18" s="15" t="n"/>
      <c r="M18" s="15" t="n"/>
      <c r="N18" s="15" t="n"/>
      <c r="O18" s="15" t="n"/>
      <c r="P18" s="15" t="n"/>
      <c r="Q18" s="15" t="n"/>
      <c r="R18" s="15" t="n"/>
      <c r="S18" s="15" t="n"/>
      <c r="T18" s="15" t="n"/>
      <c r="U18" s="15" t="n"/>
      <c r="V18" s="15" t="n"/>
      <c r="W18" s="15" t="n"/>
      <c r="X18" s="15" t="n"/>
      <c r="Y18" s="15" t="n"/>
      <c r="Z18" s="15" t="n"/>
      <c r="AA18" s="15" t="n"/>
      <c r="AB18" s="15" t="n"/>
      <c r="AC18" s="15" t="n"/>
      <c r="AD18" s="15" t="n"/>
      <c r="AE18" s="15" t="n"/>
    </row>
    <row r="19">
      <c r="A19" s="15" t="n"/>
      <c r="B19" s="17" t="inlineStr">
        <is>
          <t>† = brochure spec not re-verified Oct 2026; ⚠️ = conflicting/unconfirmed; Est. = estimate.</t>
        </is>
      </c>
      <c r="C19" s="15" t="n"/>
      <c r="D19" s="15" t="n"/>
      <c r="E19" s="15" t="n"/>
      <c r="F19" s="15" t="n"/>
      <c r="G19" s="15" t="n"/>
      <c r="H19" s="15" t="n"/>
      <c r="I19" s="15" t="n"/>
      <c r="J19" s="15" t="n"/>
      <c r="K19" s="15" t="n"/>
      <c r="L19" s="15" t="n"/>
      <c r="M19" s="15" t="n"/>
      <c r="N19" s="15" t="n"/>
      <c r="O19" s="15" t="n"/>
      <c r="P19" s="15" t="n"/>
      <c r="Q19" s="15" t="n"/>
      <c r="R19" s="15" t="n"/>
      <c r="S19" s="15" t="n"/>
      <c r="T19" s="15" t="n"/>
      <c r="U19" s="15" t="n"/>
      <c r="V19" s="15" t="n"/>
      <c r="W19" s="15" t="n"/>
      <c r="X19" s="15" t="n"/>
      <c r="Y19" s="15" t="n"/>
      <c r="Z19" s="15" t="n"/>
      <c r="AA19" s="15" t="n"/>
      <c r="AB19" s="15" t="n"/>
      <c r="AC19" s="15" t="n"/>
      <c r="AD19" s="15" t="n"/>
      <c r="AE19" s="15" t="n"/>
    </row>
  </sheetData>
  <conditionalFormatting sqref="Z2:Z11">
    <cfRule type="colorScale" priority="1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F2:F11">
    <cfRule type="colorScale" priority="2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AE2:AE11">
    <cfRule type="colorScale" priority="3">
      <colorScale>
        <cfvo type="min"/>
        <cfvo type="max"/>
        <color rgb="0063BE7B"/>
        <color rgb="00F8696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cols>
    <col width="5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60" customWidth="1" min="8" max="8"/>
  </cols>
  <sheetData>
    <row r="1">
      <c r="A1" s="18" t="inlineStr">
        <is>
          <t>Assumptions &amp; Inputs (yellow cells = edit these; blue text = hardcoded input)</t>
        </is>
      </c>
      <c r="B1" s="15" t="n"/>
      <c r="C1" s="15" t="n"/>
      <c r="D1" s="15" t="n"/>
      <c r="E1" s="15" t="n"/>
      <c r="F1" s="15" t="n"/>
      <c r="G1" s="15" t="n"/>
      <c r="H1" s="15" t="n"/>
    </row>
    <row r="2">
      <c r="A2" s="15" t="n"/>
      <c r="B2" s="15" t="n"/>
      <c r="C2" s="15" t="n"/>
      <c r="D2" s="15" t="n"/>
      <c r="E2" s="15" t="n"/>
      <c r="F2" s="15" t="n"/>
      <c r="G2" s="15" t="n"/>
      <c r="H2" s="15" t="n"/>
    </row>
    <row r="3">
      <c r="A3" s="19" t="inlineStr">
        <is>
          <t>Input</t>
        </is>
      </c>
      <c r="B3" s="19" t="inlineStr">
        <is>
          <t>Value</t>
        </is>
      </c>
      <c r="C3" s="19" t="inlineStr">
        <is>
          <t>Source / note</t>
        </is>
      </c>
      <c r="D3" s="15" t="n"/>
      <c r="E3" s="15" t="n"/>
      <c r="F3" s="15" t="n"/>
      <c r="G3" s="15" t="n"/>
      <c r="H3" s="15" t="n"/>
    </row>
    <row r="4">
      <c r="A4" s="20" t="inlineStr">
        <is>
          <t>Petrol price, Thoothukudi (₹/L)</t>
        </is>
      </c>
      <c r="B4" s="21" t="n">
        <v>101.45</v>
      </c>
      <c r="C4" s="22" t="inlineStr">
        <is>
          <t>Source: Shriram Finance / GoldPriceIndia, 17 Jul 2026 (latest dated figure found). Update to today's pump price.</t>
        </is>
      </c>
      <c r="D4" s="15" t="n"/>
      <c r="E4" s="15" t="n"/>
      <c r="F4" s="15" t="n"/>
      <c r="G4" s="15" t="n"/>
      <c r="H4" s="15" t="n"/>
    </row>
    <row r="5">
      <c r="A5" s="20" t="inlineStr">
        <is>
          <t>Electricity marginal rate for EV charging (₹/unit)</t>
        </is>
      </c>
      <c r="B5" s="21" t="n">
        <v>7</v>
      </c>
      <c r="C5" s="23" t="inlineStr">
        <is>
          <t>Estimate. TN domestic slabs ₹4.95–₹12.15/unit (TheDiscomBill, Jul 2026). Use 10 if your household is in a high slab.</t>
        </is>
      </c>
      <c r="D5" s="15" t="n"/>
      <c r="E5" s="15" t="n"/>
      <c r="F5" s="15" t="n"/>
      <c r="G5" s="15" t="n"/>
      <c r="H5" s="15" t="n"/>
    </row>
    <row r="6">
      <c r="A6" s="20" t="inlineStr">
        <is>
          <t>Ownership period (years)</t>
        </is>
      </c>
      <c r="B6" s="21" t="n">
        <v>5</v>
      </c>
      <c r="C6" s="23" t="inlineStr">
        <is>
          <t>Per your request</t>
        </is>
      </c>
      <c r="D6" s="15" t="n"/>
      <c r="E6" s="15" t="n"/>
      <c r="F6" s="15" t="n"/>
      <c r="G6" s="15" t="n"/>
      <c r="H6" s="15" t="n"/>
    </row>
    <row r="7">
      <c r="A7" s="20" t="inlineStr">
        <is>
          <t>Days per year</t>
        </is>
      </c>
      <c r="B7" s="21" t="n">
        <v>365</v>
      </c>
      <c r="C7" s="23" t="inlineStr"/>
      <c r="D7" s="15" t="n"/>
      <c r="E7" s="15" t="n"/>
      <c r="F7" s="15" t="n"/>
      <c r="G7" s="15" t="n"/>
      <c r="H7" s="15" t="n"/>
    </row>
    <row r="8">
      <c r="A8" s="20" t="inlineStr">
        <is>
          <t>Your Hero Honda Pleasure kerb weight (kg)</t>
        </is>
      </c>
      <c r="B8" s="21" t="n">
        <v>104</v>
      </c>
      <c r="C8" s="23" t="inlineStr">
        <is>
          <t>BikeWale Pleasure 2005-2015 spec</t>
        </is>
      </c>
      <c r="D8" s="15" t="n"/>
      <c r="E8" s="15" t="n"/>
      <c r="F8" s="15" t="n"/>
      <c r="G8" s="15" t="n"/>
      <c r="H8" s="15" t="n"/>
    </row>
    <row r="9">
      <c r="A9" s="20" t="inlineStr">
        <is>
          <t>Your Pleasure seat height (mm)</t>
        </is>
      </c>
      <c r="B9" s="21" t="n">
        <v>765</v>
      </c>
      <c r="C9" s="23" t="inlineStr">
        <is>
          <t>BikeWale Pleasure 2005-2015 spec</t>
        </is>
      </c>
      <c r="D9" s="15" t="n"/>
      <c r="E9" s="15" t="n"/>
      <c r="F9" s="15" t="n"/>
      <c r="G9" s="15" t="n"/>
      <c r="H9" s="15" t="n"/>
    </row>
    <row r="10">
      <c r="A10" s="20" t="inlineStr">
        <is>
          <t>Your Pleasure real-world mileage today (kmpl)</t>
        </is>
      </c>
      <c r="B10" s="21" t="n">
        <v>47</v>
      </c>
      <c r="C10" s="23" t="inlineStr">
        <is>
          <t>Estimate for a ~10-year-old carburettor 102cc engine (ARAI 63)</t>
        </is>
      </c>
      <c r="D10" s="15" t="n"/>
      <c r="E10" s="15" t="n"/>
      <c r="F10" s="15" t="n"/>
      <c r="G10" s="15" t="n"/>
      <c r="H10" s="15" t="n"/>
    </row>
    <row r="11">
      <c r="A11" s="15" t="n"/>
      <c r="B11" s="15" t="n"/>
      <c r="C11" s="15" t="n"/>
      <c r="D11" s="15" t="n"/>
      <c r="E11" s="15" t="n"/>
      <c r="F11" s="15" t="n"/>
      <c r="G11" s="15" t="n"/>
      <c r="H11" s="15" t="n"/>
    </row>
    <row r="12">
      <c r="A12" s="15" t="n"/>
      <c r="B12" s="15" t="n"/>
      <c r="C12" s="15" t="n"/>
      <c r="D12" s="15" t="n"/>
      <c r="E12" s="15" t="n"/>
      <c r="F12" s="15" t="n"/>
      <c r="G12" s="15" t="n"/>
      <c r="H12" s="15" t="n"/>
    </row>
    <row r="13">
      <c r="A13" s="16" t="inlineStr">
        <is>
          <t>Daily-km scenarios</t>
        </is>
      </c>
      <c r="B13" s="15" t="n"/>
      <c r="C13" s="15" t="n"/>
      <c r="D13" s="15" t="n"/>
      <c r="E13" s="15" t="n"/>
      <c r="F13" s="15" t="n"/>
      <c r="G13" s="15" t="n"/>
      <c r="H13" s="15" t="n"/>
    </row>
    <row r="14">
      <c r="A14" s="19" t="inlineStr">
        <is>
          <t>Scenario</t>
        </is>
      </c>
      <c r="B14" s="19" t="inlineStr">
        <is>
          <t>km/day</t>
        </is>
      </c>
      <c r="C14" s="15" t="n"/>
      <c r="D14" s="15" t="n"/>
      <c r="E14" s="15" t="n"/>
      <c r="F14" s="15" t="n"/>
      <c r="G14" s="15" t="n"/>
      <c r="H14" s="15" t="n"/>
    </row>
    <row r="15">
      <c r="A15" s="20" t="inlineStr">
        <is>
          <t>Scenario 1</t>
        </is>
      </c>
      <c r="B15" s="21" t="n">
        <v>20</v>
      </c>
      <c r="C15" s="15" t="n"/>
      <c r="D15" s="15" t="n"/>
      <c r="E15" s="15" t="n"/>
      <c r="F15" s="15" t="n"/>
      <c r="G15" s="15" t="n"/>
      <c r="H15" s="15" t="n"/>
    </row>
    <row r="16">
      <c r="A16" s="20" t="inlineStr">
        <is>
          <t>Scenario 2</t>
        </is>
      </c>
      <c r="B16" s="21" t="n">
        <v>30</v>
      </c>
      <c r="C16" s="15" t="n"/>
      <c r="D16" s="15" t="n"/>
      <c r="E16" s="15" t="n"/>
      <c r="F16" s="15" t="n"/>
      <c r="G16" s="15" t="n"/>
      <c r="H16" s="15" t="n"/>
    </row>
    <row r="17">
      <c r="A17" s="20" t="inlineStr">
        <is>
          <t>Scenario 3</t>
        </is>
      </c>
      <c r="B17" s="21" t="n">
        <v>50</v>
      </c>
      <c r="C17" s="15" t="n"/>
      <c r="D17" s="15" t="n"/>
      <c r="E17" s="15" t="n"/>
      <c r="F17" s="15" t="n"/>
      <c r="G17" s="15" t="n"/>
      <c r="H17" s="15" t="n"/>
    </row>
    <row r="18">
      <c r="A18" s="15" t="n"/>
      <c r="B18" s="15" t="n"/>
      <c r="C18" s="15" t="n"/>
      <c r="D18" s="15" t="n"/>
      <c r="E18" s="15" t="n"/>
      <c r="F18" s="15" t="n"/>
      <c r="G18" s="15" t="n"/>
      <c r="H18" s="15" t="n"/>
    </row>
    <row r="19">
      <c r="A19" s="16" t="inlineStr">
        <is>
          <t>5-year maintenance &amp; risk estimates (₹, totals over the ownership period) — ESTIMATES, not quotes</t>
        </is>
      </c>
      <c r="B19" s="15" t="n"/>
      <c r="C19" s="15" t="n"/>
      <c r="D19" s="15" t="n"/>
      <c r="E19" s="15" t="n"/>
      <c r="F19" s="15" t="n"/>
      <c r="G19" s="15" t="n"/>
      <c r="H19" s="15" t="n"/>
    </row>
    <row r="20">
      <c r="A20" s="24" t="inlineStr">
        <is>
          <t>Cost item</t>
        </is>
      </c>
      <c r="B20" s="24" t="inlineStr">
        <is>
          <t>EV @ S1</t>
        </is>
      </c>
      <c r="C20" s="24" t="inlineStr">
        <is>
          <t>EV @ S2</t>
        </is>
      </c>
      <c r="D20" s="24" t="inlineStr">
        <is>
          <t>EV @ S3</t>
        </is>
      </c>
      <c r="E20" s="24" t="inlineStr">
        <is>
          <t>Petrol @ S1</t>
        </is>
      </c>
      <c r="F20" s="24" t="inlineStr">
        <is>
          <t>Petrol @ S2</t>
        </is>
      </c>
      <c r="G20" s="24" t="inlineStr">
        <is>
          <t>Petrol @ S3</t>
        </is>
      </c>
      <c r="H20" s="24" t="inlineStr">
        <is>
          <t>Basis</t>
        </is>
      </c>
    </row>
    <row r="21">
      <c r="A21" s="4" t="inlineStr">
        <is>
          <t>Periodic servicing</t>
        </is>
      </c>
      <c r="B21" s="25" t="n">
        <v>5000</v>
      </c>
      <c r="C21" s="25" t="n">
        <v>6000</v>
      </c>
      <c r="D21" s="25" t="n">
        <v>8000</v>
      </c>
      <c r="E21" s="25" t="n">
        <v>10000</v>
      </c>
      <c r="F21" s="25" t="n">
        <v>14000</v>
      </c>
      <c r="G21" s="25" t="n">
        <v>20000</v>
      </c>
      <c r="H21" s="4" t="inlineStr">
        <is>
          <t>Petrol: service every ~3,000–4,000 km at ~₹700–1,200; EV: ~₹600–1,600/yr</t>
        </is>
      </c>
    </row>
    <row r="22">
      <c r="A22" s="4" t="inlineStr">
        <is>
          <t>Consumables (oil, belt, rollers, plug, brake shoes/pads, 12V battery)</t>
        </is>
      </c>
      <c r="B22" s="25" t="n">
        <v>3000</v>
      </c>
      <c r="C22" s="25" t="n">
        <v>4000</v>
      </c>
      <c r="D22" s="25" t="n">
        <v>7000</v>
      </c>
      <c r="E22" s="25" t="n">
        <v>5000</v>
      </c>
      <c r="F22" s="25" t="n">
        <v>7000</v>
      </c>
      <c r="G22" s="25" t="n">
        <v>12000</v>
      </c>
      <c r="H22" s="4" t="inlineStr">
        <is>
          <t>Estimate</t>
        </is>
      </c>
    </row>
    <row r="23">
      <c r="A23" s="4" t="inlineStr">
        <is>
          <t>Insurance renewals (years 2–5)</t>
        </is>
      </c>
      <c r="B23" s="25" t="n">
        <v>8000</v>
      </c>
      <c r="C23" s="25" t="n">
        <v>8000</v>
      </c>
      <c r="D23" s="25" t="n">
        <v>8000</v>
      </c>
      <c r="E23" s="25" t="n">
        <v>8000</v>
      </c>
      <c r="F23" s="25" t="n">
        <v>8000</v>
      </c>
      <c r="G23" s="25" t="n">
        <v>8000</v>
      </c>
      <c r="H23" s="4" t="inlineStr">
        <is>
          <t>~₹2,000/yr OD renewal (TP prepaid 5 yrs at purchase) – estimate</t>
        </is>
      </c>
    </row>
    <row r="24">
      <c r="A24" s="4" t="inlineStr">
        <is>
          <t>Tyres</t>
        </is>
      </c>
      <c r="B24" s="25" t="n">
        <v>3500</v>
      </c>
      <c r="C24" s="25" t="n">
        <v>7000</v>
      </c>
      <c r="D24" s="25" t="n">
        <v>10500</v>
      </c>
      <c r="E24" s="25" t="n">
        <v>3500</v>
      </c>
      <c r="F24" s="25" t="n">
        <v>7000</v>
      </c>
      <c r="G24" s="25" t="n">
        <v>10500</v>
      </c>
      <c r="H24" s="4" t="inlineStr">
        <is>
          <t>~₹3,500 per pair every ~25–30k km – estimate</t>
        </is>
      </c>
    </row>
    <row r="25">
      <c r="A25" s="4" t="inlineStr">
        <is>
          <t>EV battery replacement provision (risk-weighted)</t>
        </is>
      </c>
      <c r="B25" s="25" t="n">
        <v>6000</v>
      </c>
      <c r="C25" s="25" t="n">
        <v>15000</v>
      </c>
      <c r="D25" s="25" t="n">
        <v>30000</v>
      </c>
      <c r="E25" s="25" t="n">
        <v>0</v>
      </c>
      <c r="F25" s="25" t="n">
        <v>0</v>
      </c>
      <c r="G25" s="25" t="n">
        <v>0</v>
      </c>
      <c r="H25" s="4" t="inlineStr">
        <is>
          <t>S1: buy extended battery warranty; S3: ~50% chance of a ₹50–60k pack by year 5 (EVFY 2026 battery cost guide)</t>
        </is>
      </c>
    </row>
    <row r="26">
      <c r="A26" s="16" t="inlineStr">
        <is>
          <t>Total other costs</t>
        </is>
      </c>
      <c r="B26" s="26">
        <f>SUM(B21:B25)</f>
        <v/>
      </c>
      <c r="C26" s="26">
        <f>SUM(C21:C25)</f>
        <v/>
      </c>
      <c r="D26" s="26">
        <f>SUM(D21:D25)</f>
        <v/>
      </c>
      <c r="E26" s="26">
        <f>SUM(E21:E25)</f>
        <v/>
      </c>
      <c r="F26" s="26">
        <f>SUM(F21:F25)</f>
        <v/>
      </c>
      <c r="G26" s="26">
        <f>SUM(G21:G25)</f>
        <v/>
      </c>
      <c r="H26" s="15" t="n"/>
    </row>
    <row r="27">
      <c r="A27" s="15" t="n"/>
      <c r="B27" s="15" t="n"/>
      <c r="C27" s="15" t="n"/>
      <c r="D27" s="15" t="n"/>
      <c r="E27" s="15" t="n"/>
      <c r="F27" s="15" t="n"/>
      <c r="G27" s="15" t="n"/>
      <c r="H27" s="15" t="n"/>
    </row>
    <row r="28">
      <c r="A28" s="17" t="inlineStr">
        <is>
          <t>Legend: Yellow fill + blue text = input you can change. Black = formula. Green = link from another sheet. 'Est.' = estimate. '†' = brochure spec not re-verified Oct 2026.</t>
        </is>
      </c>
      <c r="B28" s="15" t="n"/>
      <c r="C28" s="15" t="n"/>
      <c r="D28" s="15" t="n"/>
      <c r="E28" s="15" t="n"/>
      <c r="F28" s="15" t="n"/>
      <c r="G28" s="15" t="n"/>
      <c r="H28" s="15" t="n"/>
    </row>
    <row r="29">
      <c r="A29" s="17" t="inlineStr">
        <is>
          <t>Prices/availability checked 5 Oct 2026. Central PM E-DRIVE subsidy ended 31 Jul 2026. TN EV road tax = 0% until 31 Dec 2027.</t>
        </is>
      </c>
      <c r="B29" s="15" t="n"/>
      <c r="C29" s="15" t="n"/>
      <c r="D29" s="15" t="n"/>
      <c r="E29" s="15" t="n"/>
      <c r="F29" s="15" t="n"/>
      <c r="G29" s="15" t="n"/>
      <c r="H29" s="15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8" customWidth="1" min="2" max="2"/>
    <col width="12" customWidth="1" min="3" max="3"/>
    <col width="13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2" customWidth="1" min="10" max="10"/>
    <col width="10" customWidth="1" min="11" max="11"/>
  </cols>
  <sheetData>
    <row r="1">
      <c r="A1" s="18" t="inlineStr">
        <is>
          <t>Weight-to-price, range-to-weight and power-to-weight (all values linked from Comparison sheet)</t>
        </is>
      </c>
      <c r="B1" s="15" t="n"/>
      <c r="C1" s="15" t="n"/>
      <c r="D1" s="15" t="n"/>
      <c r="E1" s="15" t="n"/>
      <c r="F1" s="15" t="n"/>
      <c r="G1" s="15" t="n"/>
      <c r="H1" s="15" t="n"/>
      <c r="I1" s="15" t="n"/>
      <c r="J1" s="15" t="n"/>
      <c r="K1" s="15" t="n"/>
    </row>
    <row r="2">
      <c r="A2" s="15" t="n"/>
      <c r="B2" s="15" t="n"/>
      <c r="C2" s="15" t="n"/>
      <c r="D2" s="15" t="n"/>
      <c r="E2" s="15" t="n"/>
      <c r="F2" s="15" t="n"/>
      <c r="G2" s="15" t="n"/>
      <c r="H2" s="15" t="n"/>
      <c r="I2" s="15" t="n"/>
      <c r="J2" s="15" t="n"/>
      <c r="K2" s="15" t="n"/>
    </row>
    <row r="3" ht="45" customHeight="1">
      <c r="A3" s="1" t="inlineStr">
        <is>
          <t>Scooter</t>
        </is>
      </c>
      <c r="B3" s="1" t="inlineStr">
        <is>
          <t>Fuel</t>
        </is>
      </c>
      <c r="C3" s="1" t="inlineStr">
        <is>
          <t>Kerb weight (kg)</t>
        </is>
      </c>
      <c r="D3" s="1" t="inlineStr">
        <is>
          <t>On-road (₹)</t>
        </is>
      </c>
      <c r="E3" s="1" t="inlineStr">
        <is>
          <t>₹ per kg</t>
        </is>
      </c>
      <c r="F3" s="1" t="inlineStr">
        <is>
          <t>Rank (₹/kg, low=1)</t>
        </is>
      </c>
      <c r="G3" s="1" t="inlineStr">
        <is>
          <t>Real range (km)</t>
        </is>
      </c>
      <c r="H3" s="1" t="inlineStr">
        <is>
          <t>Range ÷ kg (EV)</t>
        </is>
      </c>
      <c r="I3" s="1" t="inlineStr">
        <is>
          <t>Rank (EV range/kg)</t>
        </is>
      </c>
      <c r="J3" s="1" t="inlineStr">
        <is>
          <t>Power-to-weight (W/kg)</t>
        </is>
      </c>
      <c r="K3" s="1" t="inlineStr">
        <is>
          <t>Rank (W/kg)</t>
        </is>
      </c>
    </row>
    <row r="4">
      <c r="A4" s="27">
        <f>Comparison!B2</f>
        <v/>
      </c>
      <c r="B4" s="27">
        <f>Comparison!E2</f>
        <v/>
      </c>
      <c r="C4" s="27">
        <f>Comparison!F2</f>
        <v/>
      </c>
      <c r="D4" s="28">
        <f>Comparison!P2</f>
        <v/>
      </c>
      <c r="E4" s="28">
        <f>Comparison!Z2</f>
        <v/>
      </c>
      <c r="F4" s="29">
        <f>COUNTIF($E$4:$E$13,"&lt;"&amp;E4)+1</f>
        <v/>
      </c>
      <c r="G4" s="27">
        <f>IF(B4="EV",Comparison!K2,"")</f>
        <v/>
      </c>
      <c r="H4" s="30">
        <f>IF(B4="EV",Comparison!AA2,"")</f>
        <v/>
      </c>
      <c r="I4" s="29">
        <f>IF(B4="EV",COUNTIFS($B$4:$B$13,"EV",$H$4:$H$13,"&gt;"&amp;H4)+1,"")</f>
        <v/>
      </c>
      <c r="J4" s="31">
        <f>Comparison!AB2</f>
        <v/>
      </c>
      <c r="K4" s="29">
        <f>IF(ISNUMBER(J4),COUNTIF($J$4:$J$13,"&gt;"&amp;J4)+1,"n/a")</f>
        <v/>
      </c>
    </row>
    <row r="5">
      <c r="A5" s="27">
        <f>Comparison!B3</f>
        <v/>
      </c>
      <c r="B5" s="27">
        <f>Comparison!E3</f>
        <v/>
      </c>
      <c r="C5" s="27">
        <f>Comparison!F3</f>
        <v/>
      </c>
      <c r="D5" s="28">
        <f>Comparison!P3</f>
        <v/>
      </c>
      <c r="E5" s="28">
        <f>Comparison!Z3</f>
        <v/>
      </c>
      <c r="F5" s="29">
        <f>COUNTIF($E$4:$E$13,"&lt;"&amp;E5)+1</f>
        <v/>
      </c>
      <c r="G5" s="27">
        <f>IF(B5="EV",Comparison!K3,"")</f>
        <v/>
      </c>
      <c r="H5" s="30">
        <f>IF(B5="EV",Comparison!AA3,"")</f>
        <v/>
      </c>
      <c r="I5" s="29">
        <f>IF(B5="EV",COUNTIFS($B$4:$B$13,"EV",$H$4:$H$13,"&gt;"&amp;H5)+1,"")</f>
        <v/>
      </c>
      <c r="J5" s="31">
        <f>Comparison!AB3</f>
        <v/>
      </c>
      <c r="K5" s="29">
        <f>IF(ISNUMBER(J5),COUNTIF($J$4:$J$13,"&gt;"&amp;J5)+1,"n/a")</f>
        <v/>
      </c>
    </row>
    <row r="6">
      <c r="A6" s="27">
        <f>Comparison!B4</f>
        <v/>
      </c>
      <c r="B6" s="27">
        <f>Comparison!E4</f>
        <v/>
      </c>
      <c r="C6" s="27">
        <f>Comparison!F4</f>
        <v/>
      </c>
      <c r="D6" s="28">
        <f>Comparison!P4</f>
        <v/>
      </c>
      <c r="E6" s="28">
        <f>Comparison!Z4</f>
        <v/>
      </c>
      <c r="F6" s="29">
        <f>COUNTIF($E$4:$E$13,"&lt;"&amp;E6)+1</f>
        <v/>
      </c>
      <c r="G6" s="27">
        <f>IF(B6="EV",Comparison!K4,"")</f>
        <v/>
      </c>
      <c r="H6" s="30">
        <f>IF(B6="EV",Comparison!AA4,"")</f>
        <v/>
      </c>
      <c r="I6" s="29">
        <f>IF(B6="EV",COUNTIFS($B$4:$B$13,"EV",$H$4:$H$13,"&gt;"&amp;H6)+1,"")</f>
        <v/>
      </c>
      <c r="J6" s="31">
        <f>Comparison!AB4</f>
        <v/>
      </c>
      <c r="K6" s="29">
        <f>IF(ISNUMBER(J6),COUNTIF($J$4:$J$13,"&gt;"&amp;J6)+1,"n/a")</f>
        <v/>
      </c>
    </row>
    <row r="7">
      <c r="A7" s="27">
        <f>Comparison!B5</f>
        <v/>
      </c>
      <c r="B7" s="27">
        <f>Comparison!E5</f>
        <v/>
      </c>
      <c r="C7" s="27">
        <f>Comparison!F5</f>
        <v/>
      </c>
      <c r="D7" s="28">
        <f>Comparison!P5</f>
        <v/>
      </c>
      <c r="E7" s="28">
        <f>Comparison!Z5</f>
        <v/>
      </c>
      <c r="F7" s="29">
        <f>COUNTIF($E$4:$E$13,"&lt;"&amp;E7)+1</f>
        <v/>
      </c>
      <c r="G7" s="27">
        <f>IF(B7="EV",Comparison!K5,"")</f>
        <v/>
      </c>
      <c r="H7" s="30">
        <f>IF(B7="EV",Comparison!AA5,"")</f>
        <v/>
      </c>
      <c r="I7" s="29">
        <f>IF(B7="EV",COUNTIFS($B$4:$B$13,"EV",$H$4:$H$13,"&gt;"&amp;H7)+1,"")</f>
        <v/>
      </c>
      <c r="J7" s="31">
        <f>Comparison!AB5</f>
        <v/>
      </c>
      <c r="K7" s="29">
        <f>IF(ISNUMBER(J7),COUNTIF($J$4:$J$13,"&gt;"&amp;J7)+1,"n/a")</f>
        <v/>
      </c>
    </row>
    <row r="8">
      <c r="A8" s="27">
        <f>Comparison!B6</f>
        <v/>
      </c>
      <c r="B8" s="27">
        <f>Comparison!E6</f>
        <v/>
      </c>
      <c r="C8" s="27">
        <f>Comparison!F6</f>
        <v/>
      </c>
      <c r="D8" s="28">
        <f>Comparison!P6</f>
        <v/>
      </c>
      <c r="E8" s="28">
        <f>Comparison!Z6</f>
        <v/>
      </c>
      <c r="F8" s="29">
        <f>COUNTIF($E$4:$E$13,"&lt;"&amp;E8)+1</f>
        <v/>
      </c>
      <c r="G8" s="27">
        <f>IF(B8="EV",Comparison!K6,"")</f>
        <v/>
      </c>
      <c r="H8" s="30">
        <f>IF(B8="EV",Comparison!AA6,"")</f>
        <v/>
      </c>
      <c r="I8" s="29">
        <f>IF(B8="EV",COUNTIFS($B$4:$B$13,"EV",$H$4:$H$13,"&gt;"&amp;H8)+1,"")</f>
        <v/>
      </c>
      <c r="J8" s="31">
        <f>Comparison!AB6</f>
        <v/>
      </c>
      <c r="K8" s="29">
        <f>IF(ISNUMBER(J8),COUNTIF($J$4:$J$13,"&gt;"&amp;J8)+1,"n/a")</f>
        <v/>
      </c>
    </row>
    <row r="9">
      <c r="A9" s="27">
        <f>Comparison!B7</f>
        <v/>
      </c>
      <c r="B9" s="27">
        <f>Comparison!E7</f>
        <v/>
      </c>
      <c r="C9" s="27">
        <f>Comparison!F7</f>
        <v/>
      </c>
      <c r="D9" s="28">
        <f>Comparison!P7</f>
        <v/>
      </c>
      <c r="E9" s="28">
        <f>Comparison!Z7</f>
        <v/>
      </c>
      <c r="F9" s="29">
        <f>COUNTIF($E$4:$E$13,"&lt;"&amp;E9)+1</f>
        <v/>
      </c>
      <c r="G9" s="27">
        <f>IF(B9="EV",Comparison!K7,"")</f>
        <v/>
      </c>
      <c r="H9" s="30">
        <f>IF(B9="EV",Comparison!AA7,"")</f>
        <v/>
      </c>
      <c r="I9" s="29">
        <f>IF(B9="EV",COUNTIFS($B$4:$B$13,"EV",$H$4:$H$13,"&gt;"&amp;H9)+1,"")</f>
        <v/>
      </c>
      <c r="J9" s="31">
        <f>Comparison!AB7</f>
        <v/>
      </c>
      <c r="K9" s="29">
        <f>IF(ISNUMBER(J9),COUNTIF($J$4:$J$13,"&gt;"&amp;J9)+1,"n/a")</f>
        <v/>
      </c>
    </row>
    <row r="10">
      <c r="A10" s="27">
        <f>Comparison!B8</f>
        <v/>
      </c>
      <c r="B10" s="27">
        <f>Comparison!E8</f>
        <v/>
      </c>
      <c r="C10" s="27">
        <f>Comparison!F8</f>
        <v/>
      </c>
      <c r="D10" s="28">
        <f>Comparison!P8</f>
        <v/>
      </c>
      <c r="E10" s="28">
        <f>Comparison!Z8</f>
        <v/>
      </c>
      <c r="F10" s="29">
        <f>COUNTIF($E$4:$E$13,"&lt;"&amp;E10)+1</f>
        <v/>
      </c>
      <c r="G10" s="27">
        <f>IF(B10="EV",Comparison!K8,"")</f>
        <v/>
      </c>
      <c r="H10" s="30">
        <f>IF(B10="EV",Comparison!AA8,"")</f>
        <v/>
      </c>
      <c r="I10" s="29">
        <f>IF(B10="EV",COUNTIFS($B$4:$B$13,"EV",$H$4:$H$13,"&gt;"&amp;H10)+1,"")</f>
        <v/>
      </c>
      <c r="J10" s="31">
        <f>Comparison!AB8</f>
        <v/>
      </c>
      <c r="K10" s="29">
        <f>IF(ISNUMBER(J10),COUNTIF($J$4:$J$13,"&gt;"&amp;J10)+1,"n/a")</f>
        <v/>
      </c>
    </row>
    <row r="11">
      <c r="A11" s="27">
        <f>Comparison!B9</f>
        <v/>
      </c>
      <c r="B11" s="27">
        <f>Comparison!E9</f>
        <v/>
      </c>
      <c r="C11" s="27">
        <f>Comparison!F9</f>
        <v/>
      </c>
      <c r="D11" s="28">
        <f>Comparison!P9</f>
        <v/>
      </c>
      <c r="E11" s="28">
        <f>Comparison!Z9</f>
        <v/>
      </c>
      <c r="F11" s="29">
        <f>COUNTIF($E$4:$E$13,"&lt;"&amp;E11)+1</f>
        <v/>
      </c>
      <c r="G11" s="27">
        <f>IF(B11="EV",Comparison!K9,"")</f>
        <v/>
      </c>
      <c r="H11" s="30">
        <f>IF(B11="EV",Comparison!AA9,"")</f>
        <v/>
      </c>
      <c r="I11" s="29">
        <f>IF(B11="EV",COUNTIFS($B$4:$B$13,"EV",$H$4:$H$13,"&gt;"&amp;H11)+1,"")</f>
        <v/>
      </c>
      <c r="J11" s="31">
        <f>Comparison!AB9</f>
        <v/>
      </c>
      <c r="K11" s="29">
        <f>IF(ISNUMBER(J11),COUNTIF($J$4:$J$13,"&gt;"&amp;J11)+1,"n/a")</f>
        <v/>
      </c>
    </row>
    <row r="12">
      <c r="A12" s="27">
        <f>Comparison!B10</f>
        <v/>
      </c>
      <c r="B12" s="27">
        <f>Comparison!E10</f>
        <v/>
      </c>
      <c r="C12" s="27">
        <f>Comparison!F10</f>
        <v/>
      </c>
      <c r="D12" s="28">
        <f>Comparison!P10</f>
        <v/>
      </c>
      <c r="E12" s="28">
        <f>Comparison!Z10</f>
        <v/>
      </c>
      <c r="F12" s="29">
        <f>COUNTIF($E$4:$E$13,"&lt;"&amp;E12)+1</f>
        <v/>
      </c>
      <c r="G12" s="27">
        <f>IF(B12="EV",Comparison!K10,"")</f>
        <v/>
      </c>
      <c r="H12" s="30">
        <f>IF(B12="EV",Comparison!AA10,"")</f>
        <v/>
      </c>
      <c r="I12" s="29">
        <f>IF(B12="EV",COUNTIFS($B$4:$B$13,"EV",$H$4:$H$13,"&gt;"&amp;H12)+1,"")</f>
        <v/>
      </c>
      <c r="J12" s="31">
        <f>Comparison!AB10</f>
        <v/>
      </c>
      <c r="K12" s="29">
        <f>IF(ISNUMBER(J12),COUNTIF($J$4:$J$13,"&gt;"&amp;J12)+1,"n/a")</f>
        <v/>
      </c>
    </row>
    <row r="13">
      <c r="A13" s="27">
        <f>Comparison!B11</f>
        <v/>
      </c>
      <c r="B13" s="27">
        <f>Comparison!E11</f>
        <v/>
      </c>
      <c r="C13" s="27">
        <f>Comparison!F11</f>
        <v/>
      </c>
      <c r="D13" s="28">
        <f>Comparison!P11</f>
        <v/>
      </c>
      <c r="E13" s="28">
        <f>Comparison!Z11</f>
        <v/>
      </c>
      <c r="F13" s="29">
        <f>COUNTIF($E$4:$E$13,"&lt;"&amp;E13)+1</f>
        <v/>
      </c>
      <c r="G13" s="27">
        <f>IF(B13="EV",Comparison!K11,"")</f>
        <v/>
      </c>
      <c r="H13" s="30">
        <f>IF(B13="EV",Comparison!AA11,"")</f>
        <v/>
      </c>
      <c r="I13" s="29">
        <f>IF(B13="EV",COUNTIFS($B$4:$B$13,"EV",$H$4:$H$13,"&gt;"&amp;H13)+1,"")</f>
        <v/>
      </c>
      <c r="J13" s="31">
        <f>Comparison!AB11</f>
        <v/>
      </c>
      <c r="K13" s="29">
        <f>IF(ISNUMBER(J13),COUNTIF($J$4:$J$13,"&gt;"&amp;J13)+1,"n/a")</f>
        <v/>
      </c>
    </row>
    <row r="14">
      <c r="A14" s="15" t="n"/>
      <c r="B14" s="15" t="n"/>
      <c r="C14" s="15" t="n"/>
      <c r="D14" s="15" t="n"/>
      <c r="E14" s="15" t="n"/>
      <c r="F14" s="15" t="n"/>
      <c r="G14" s="15" t="n"/>
      <c r="H14" s="15" t="n"/>
      <c r="I14" s="15" t="n"/>
      <c r="J14" s="15" t="n"/>
      <c r="K14" s="15" t="n"/>
    </row>
    <row r="15">
      <c r="A15" s="15" t="n"/>
      <c r="B15" s="15" t="n"/>
      <c r="C15" s="15" t="n"/>
      <c r="D15" s="15" t="n"/>
      <c r="E15" s="15" t="n"/>
      <c r="F15" s="15" t="n"/>
      <c r="G15" s="15" t="n"/>
      <c r="H15" s="15" t="n"/>
      <c r="I15" s="15" t="n"/>
      <c r="J15" s="15" t="n"/>
      <c r="K15" s="15" t="n"/>
    </row>
    <row r="16">
      <c r="A16" s="16" t="inlineStr">
        <is>
          <t>How to read this:</t>
        </is>
      </c>
      <c r="B16" s="15" t="n"/>
      <c r="C16" s="15" t="n"/>
      <c r="D16" s="15" t="n"/>
      <c r="E16" s="15" t="n"/>
      <c r="F16" s="15" t="n"/>
      <c r="G16" s="15" t="n"/>
      <c r="H16" s="15" t="n"/>
      <c r="I16" s="15" t="n"/>
      <c r="J16" s="15" t="n"/>
      <c r="K16" s="15" t="n"/>
    </row>
    <row r="17">
      <c r="A17" s="17" t="inlineStr">
        <is>
          <t>₹/kg: lower = more scooter per rupee. But for you LOW WEIGHT is the goal, so a light scooter with a high ₹/kg (Fascino, Orbiter) can still be the right buy.</t>
        </is>
      </c>
      <c r="B17" s="15" t="n"/>
      <c r="C17" s="15" t="n"/>
      <c r="D17" s="15" t="n"/>
      <c r="E17" s="15" t="n"/>
      <c r="F17" s="15" t="n"/>
      <c r="G17" s="15" t="n"/>
      <c r="H17" s="15" t="n"/>
      <c r="I17" s="15" t="n"/>
      <c r="J17" s="15" t="n"/>
      <c r="K17" s="15" t="n"/>
    </row>
    <row r="18">
      <c r="A18" s="17" t="inlineStr">
        <is>
          <t>Range ÷ kg: best combination of light weight + real range. Chetak C25 is the best among EVs close to your Pleasure's 104 kg; Rizta scores high but weighs 119 kg.</t>
        </is>
      </c>
      <c r="B18" s="15" t="n"/>
      <c r="C18" s="15" t="n"/>
      <c r="D18" s="15" t="n"/>
      <c r="E18" s="15" t="n"/>
      <c r="F18" s="15" t="n"/>
      <c r="G18" s="15" t="n"/>
      <c r="H18" s="15" t="n"/>
      <c r="I18" s="15" t="n"/>
      <c r="J18" s="15" t="n"/>
      <c r="K18" s="15" t="n"/>
    </row>
    <row r="19">
      <c r="A19" s="17" t="inlineStr">
        <is>
          <t>W/kg: petrol scooters lead on paper, but EV motors give full torque from standstill (iQube 0–40 km/h in 4.2 s). Chetak C25's low figure shows in its 55 km/h cap.</t>
        </is>
      </c>
      <c r="B19" s="15" t="n"/>
      <c r="C19" s="15" t="n"/>
      <c r="D19" s="15" t="n"/>
      <c r="E19" s="15" t="n"/>
      <c r="F19" s="15" t="n"/>
      <c r="G19" s="15" t="n"/>
      <c r="H19" s="15" t="n"/>
      <c r="I19" s="15" t="n"/>
      <c r="J19" s="15" t="n"/>
      <c r="K19" s="15" t="n"/>
    </row>
    <row r="20">
      <c r="A20" s="17" t="inlineStr">
        <is>
          <t>Do NOT rank purely on these ratios – reliability, dealer support in Thoothukudi and comfort matter as much.</t>
        </is>
      </c>
      <c r="B20" s="15" t="n"/>
      <c r="C20" s="15" t="n"/>
      <c r="D20" s="15" t="n"/>
      <c r="E20" s="15" t="n"/>
      <c r="F20" s="15" t="n"/>
      <c r="G20" s="15" t="n"/>
      <c r="H20" s="15" t="n"/>
      <c r="I20" s="15" t="n"/>
      <c r="J20" s="15" t="n"/>
      <c r="K20" s="15" t="n"/>
    </row>
  </sheetData>
  <conditionalFormatting sqref="E4:E13">
    <cfRule type="colorScale" priority="1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8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</cols>
  <sheetData>
    <row r="1">
      <c r="A1" s="18" t="inlineStr">
        <is>
          <t>Energy / fuel running cost by scenario (formulas; change inputs on Assumptions sheet)</t>
        </is>
      </c>
      <c r="B1" s="15" t="n"/>
      <c r="C1" s="15" t="n"/>
      <c r="D1" s="15" t="n"/>
      <c r="E1" s="15" t="n"/>
      <c r="F1" s="15" t="n"/>
      <c r="G1" s="15" t="n"/>
      <c r="H1" s="15" t="n"/>
      <c r="I1" s="15" t="n"/>
      <c r="J1" s="15" t="n"/>
      <c r="K1" s="15" t="n"/>
      <c r="L1" s="15" t="n"/>
      <c r="M1" s="15" t="n"/>
      <c r="N1" s="15" t="n"/>
      <c r="O1" s="15" t="n"/>
    </row>
    <row r="2">
      <c r="A2" s="15" t="n"/>
      <c r="B2" s="15" t="n"/>
      <c r="C2" s="15" t="n"/>
      <c r="D2" s="16">
        <f>"Scenario 1: "&amp;Assumptions!B15&amp;" km/day"</f>
        <v/>
      </c>
      <c r="E2" s="15" t="n"/>
      <c r="F2" s="15" t="n"/>
      <c r="G2" s="15" t="n"/>
      <c r="H2" s="16">
        <f>"Scenario 2: "&amp;Assumptions!B16&amp;" km/day"</f>
        <v/>
      </c>
      <c r="I2" s="15" t="n"/>
      <c r="J2" s="15" t="n"/>
      <c r="K2" s="15" t="n"/>
      <c r="L2" s="16">
        <f>"Scenario 3: "&amp;Assumptions!B17&amp;" km/day"</f>
        <v/>
      </c>
      <c r="M2" s="15" t="n"/>
      <c r="N2" s="15" t="n"/>
      <c r="O2" s="15" t="n"/>
    </row>
    <row r="3" ht="45" customHeight="1">
      <c r="A3" s="1" t="inlineStr">
        <is>
          <t>Scooter</t>
        </is>
      </c>
      <c r="B3" s="1" t="inlineStr">
        <is>
          <t>Fuel</t>
        </is>
      </c>
      <c r="C3" s="1" t="inlineStr">
        <is>
          <t>Cost per km (₹)</t>
        </is>
      </c>
      <c r="D3" s="1" t="inlineStr">
        <is>
          <t>S1 Daily</t>
        </is>
      </c>
      <c r="E3" s="1" t="inlineStr">
        <is>
          <t>S1 Monthly</t>
        </is>
      </c>
      <c r="F3" s="1" t="inlineStr">
        <is>
          <t>S1 Annual</t>
        </is>
      </c>
      <c r="G3" s="1" t="inlineStr">
        <is>
          <t>S1 5-year</t>
        </is>
      </c>
      <c r="H3" s="1" t="inlineStr">
        <is>
          <t>S2 Daily</t>
        </is>
      </c>
      <c r="I3" s="1" t="inlineStr">
        <is>
          <t>S2 Monthly</t>
        </is>
      </c>
      <c r="J3" s="1" t="inlineStr">
        <is>
          <t>S2 Annual</t>
        </is>
      </c>
      <c r="K3" s="1" t="inlineStr">
        <is>
          <t>S2 5-year</t>
        </is>
      </c>
      <c r="L3" s="1" t="inlineStr">
        <is>
          <t>S3 Daily</t>
        </is>
      </c>
      <c r="M3" s="1" t="inlineStr">
        <is>
          <t>S3 Monthly</t>
        </is>
      </c>
      <c r="N3" s="1" t="inlineStr">
        <is>
          <t>S3 Annual</t>
        </is>
      </c>
      <c r="O3" s="1" t="inlineStr">
        <is>
          <t>S3 5-year</t>
        </is>
      </c>
    </row>
    <row r="4">
      <c r="A4" s="27">
        <f>Comparison!B2</f>
        <v/>
      </c>
      <c r="B4" s="27">
        <f>Comparison!E2</f>
        <v/>
      </c>
      <c r="C4" s="32">
        <f>Comparison!AE2</f>
        <v/>
      </c>
      <c r="D4" s="33">
        <f>$C4*Assumptions!$B$15</f>
        <v/>
      </c>
      <c r="E4" s="34">
        <f>D4*30</f>
        <v/>
      </c>
      <c r="F4" s="34">
        <f>D4*Assumptions!$B$7</f>
        <v/>
      </c>
      <c r="G4" s="34">
        <f>F4*Assumptions!$B$6</f>
        <v/>
      </c>
      <c r="H4" s="33">
        <f>$C4*Assumptions!$B$16</f>
        <v/>
      </c>
      <c r="I4" s="34">
        <f>H4*30</f>
        <v/>
      </c>
      <c r="J4" s="34">
        <f>H4*Assumptions!$B$7</f>
        <v/>
      </c>
      <c r="K4" s="34">
        <f>J4*Assumptions!$B$6</f>
        <v/>
      </c>
      <c r="L4" s="33">
        <f>$C4*Assumptions!$B$17</f>
        <v/>
      </c>
      <c r="M4" s="34">
        <f>L4*30</f>
        <v/>
      </c>
      <c r="N4" s="34">
        <f>L4*Assumptions!$B$7</f>
        <v/>
      </c>
      <c r="O4" s="34">
        <f>N4*Assumptions!$B$6</f>
        <v/>
      </c>
    </row>
    <row r="5">
      <c r="A5" s="27">
        <f>Comparison!B3</f>
        <v/>
      </c>
      <c r="B5" s="27">
        <f>Comparison!E3</f>
        <v/>
      </c>
      <c r="C5" s="32">
        <f>Comparison!AE3</f>
        <v/>
      </c>
      <c r="D5" s="33">
        <f>$C5*Assumptions!$B$15</f>
        <v/>
      </c>
      <c r="E5" s="34">
        <f>D5*30</f>
        <v/>
      </c>
      <c r="F5" s="34">
        <f>D5*Assumptions!$B$7</f>
        <v/>
      </c>
      <c r="G5" s="34">
        <f>F5*Assumptions!$B$6</f>
        <v/>
      </c>
      <c r="H5" s="33">
        <f>$C5*Assumptions!$B$16</f>
        <v/>
      </c>
      <c r="I5" s="34">
        <f>H5*30</f>
        <v/>
      </c>
      <c r="J5" s="34">
        <f>H5*Assumptions!$B$7</f>
        <v/>
      </c>
      <c r="K5" s="34">
        <f>J5*Assumptions!$B$6</f>
        <v/>
      </c>
      <c r="L5" s="33">
        <f>$C5*Assumptions!$B$17</f>
        <v/>
      </c>
      <c r="M5" s="34">
        <f>L5*30</f>
        <v/>
      </c>
      <c r="N5" s="34">
        <f>L5*Assumptions!$B$7</f>
        <v/>
      </c>
      <c r="O5" s="34">
        <f>N5*Assumptions!$B$6</f>
        <v/>
      </c>
    </row>
    <row r="6">
      <c r="A6" s="27">
        <f>Comparison!B4</f>
        <v/>
      </c>
      <c r="B6" s="27">
        <f>Comparison!E4</f>
        <v/>
      </c>
      <c r="C6" s="32">
        <f>Comparison!AE4</f>
        <v/>
      </c>
      <c r="D6" s="33">
        <f>$C6*Assumptions!$B$15</f>
        <v/>
      </c>
      <c r="E6" s="34">
        <f>D6*30</f>
        <v/>
      </c>
      <c r="F6" s="34">
        <f>D6*Assumptions!$B$7</f>
        <v/>
      </c>
      <c r="G6" s="34">
        <f>F6*Assumptions!$B$6</f>
        <v/>
      </c>
      <c r="H6" s="33">
        <f>$C6*Assumptions!$B$16</f>
        <v/>
      </c>
      <c r="I6" s="34">
        <f>H6*30</f>
        <v/>
      </c>
      <c r="J6" s="34">
        <f>H6*Assumptions!$B$7</f>
        <v/>
      </c>
      <c r="K6" s="34">
        <f>J6*Assumptions!$B$6</f>
        <v/>
      </c>
      <c r="L6" s="33">
        <f>$C6*Assumptions!$B$17</f>
        <v/>
      </c>
      <c r="M6" s="34">
        <f>L6*30</f>
        <v/>
      </c>
      <c r="N6" s="34">
        <f>L6*Assumptions!$B$7</f>
        <v/>
      </c>
      <c r="O6" s="34">
        <f>N6*Assumptions!$B$6</f>
        <v/>
      </c>
    </row>
    <row r="7">
      <c r="A7" s="27">
        <f>Comparison!B5</f>
        <v/>
      </c>
      <c r="B7" s="27">
        <f>Comparison!E5</f>
        <v/>
      </c>
      <c r="C7" s="32">
        <f>Comparison!AE5</f>
        <v/>
      </c>
      <c r="D7" s="33">
        <f>$C7*Assumptions!$B$15</f>
        <v/>
      </c>
      <c r="E7" s="34">
        <f>D7*30</f>
        <v/>
      </c>
      <c r="F7" s="34">
        <f>D7*Assumptions!$B$7</f>
        <v/>
      </c>
      <c r="G7" s="34">
        <f>F7*Assumptions!$B$6</f>
        <v/>
      </c>
      <c r="H7" s="33">
        <f>$C7*Assumptions!$B$16</f>
        <v/>
      </c>
      <c r="I7" s="34">
        <f>H7*30</f>
        <v/>
      </c>
      <c r="J7" s="34">
        <f>H7*Assumptions!$B$7</f>
        <v/>
      </c>
      <c r="K7" s="34">
        <f>J7*Assumptions!$B$6</f>
        <v/>
      </c>
      <c r="L7" s="33">
        <f>$C7*Assumptions!$B$17</f>
        <v/>
      </c>
      <c r="M7" s="34">
        <f>L7*30</f>
        <v/>
      </c>
      <c r="N7" s="34">
        <f>L7*Assumptions!$B$7</f>
        <v/>
      </c>
      <c r="O7" s="34">
        <f>N7*Assumptions!$B$6</f>
        <v/>
      </c>
    </row>
    <row r="8">
      <c r="A8" s="27">
        <f>Comparison!B6</f>
        <v/>
      </c>
      <c r="B8" s="27">
        <f>Comparison!E6</f>
        <v/>
      </c>
      <c r="C8" s="32">
        <f>Comparison!AE6</f>
        <v/>
      </c>
      <c r="D8" s="33">
        <f>$C8*Assumptions!$B$15</f>
        <v/>
      </c>
      <c r="E8" s="34">
        <f>D8*30</f>
        <v/>
      </c>
      <c r="F8" s="34">
        <f>D8*Assumptions!$B$7</f>
        <v/>
      </c>
      <c r="G8" s="34">
        <f>F8*Assumptions!$B$6</f>
        <v/>
      </c>
      <c r="H8" s="33">
        <f>$C8*Assumptions!$B$16</f>
        <v/>
      </c>
      <c r="I8" s="34">
        <f>H8*30</f>
        <v/>
      </c>
      <c r="J8" s="34">
        <f>H8*Assumptions!$B$7</f>
        <v/>
      </c>
      <c r="K8" s="34">
        <f>J8*Assumptions!$B$6</f>
        <v/>
      </c>
      <c r="L8" s="33">
        <f>$C8*Assumptions!$B$17</f>
        <v/>
      </c>
      <c r="M8" s="34">
        <f>L8*30</f>
        <v/>
      </c>
      <c r="N8" s="34">
        <f>L8*Assumptions!$B$7</f>
        <v/>
      </c>
      <c r="O8" s="34">
        <f>N8*Assumptions!$B$6</f>
        <v/>
      </c>
    </row>
    <row r="9">
      <c r="A9" s="27">
        <f>Comparison!B7</f>
        <v/>
      </c>
      <c r="B9" s="27">
        <f>Comparison!E7</f>
        <v/>
      </c>
      <c r="C9" s="32">
        <f>Comparison!AE7</f>
        <v/>
      </c>
      <c r="D9" s="33">
        <f>$C9*Assumptions!$B$15</f>
        <v/>
      </c>
      <c r="E9" s="34">
        <f>D9*30</f>
        <v/>
      </c>
      <c r="F9" s="34">
        <f>D9*Assumptions!$B$7</f>
        <v/>
      </c>
      <c r="G9" s="34">
        <f>F9*Assumptions!$B$6</f>
        <v/>
      </c>
      <c r="H9" s="33">
        <f>$C9*Assumptions!$B$16</f>
        <v/>
      </c>
      <c r="I9" s="34">
        <f>H9*30</f>
        <v/>
      </c>
      <c r="J9" s="34">
        <f>H9*Assumptions!$B$7</f>
        <v/>
      </c>
      <c r="K9" s="34">
        <f>J9*Assumptions!$B$6</f>
        <v/>
      </c>
      <c r="L9" s="33">
        <f>$C9*Assumptions!$B$17</f>
        <v/>
      </c>
      <c r="M9" s="34">
        <f>L9*30</f>
        <v/>
      </c>
      <c r="N9" s="34">
        <f>L9*Assumptions!$B$7</f>
        <v/>
      </c>
      <c r="O9" s="34">
        <f>N9*Assumptions!$B$6</f>
        <v/>
      </c>
    </row>
    <row r="10">
      <c r="A10" s="27">
        <f>Comparison!B8</f>
        <v/>
      </c>
      <c r="B10" s="27">
        <f>Comparison!E8</f>
        <v/>
      </c>
      <c r="C10" s="32">
        <f>Comparison!AE8</f>
        <v/>
      </c>
      <c r="D10" s="33">
        <f>$C10*Assumptions!$B$15</f>
        <v/>
      </c>
      <c r="E10" s="34">
        <f>D10*30</f>
        <v/>
      </c>
      <c r="F10" s="34">
        <f>D10*Assumptions!$B$7</f>
        <v/>
      </c>
      <c r="G10" s="34">
        <f>F10*Assumptions!$B$6</f>
        <v/>
      </c>
      <c r="H10" s="33">
        <f>$C10*Assumptions!$B$16</f>
        <v/>
      </c>
      <c r="I10" s="34">
        <f>H10*30</f>
        <v/>
      </c>
      <c r="J10" s="34">
        <f>H10*Assumptions!$B$7</f>
        <v/>
      </c>
      <c r="K10" s="34">
        <f>J10*Assumptions!$B$6</f>
        <v/>
      </c>
      <c r="L10" s="33">
        <f>$C10*Assumptions!$B$17</f>
        <v/>
      </c>
      <c r="M10" s="34">
        <f>L10*30</f>
        <v/>
      </c>
      <c r="N10" s="34">
        <f>L10*Assumptions!$B$7</f>
        <v/>
      </c>
      <c r="O10" s="34">
        <f>N10*Assumptions!$B$6</f>
        <v/>
      </c>
    </row>
    <row r="11">
      <c r="A11" s="27">
        <f>Comparison!B9</f>
        <v/>
      </c>
      <c r="B11" s="27">
        <f>Comparison!E9</f>
        <v/>
      </c>
      <c r="C11" s="32">
        <f>Comparison!AE9</f>
        <v/>
      </c>
      <c r="D11" s="33">
        <f>$C11*Assumptions!$B$15</f>
        <v/>
      </c>
      <c r="E11" s="34">
        <f>D11*30</f>
        <v/>
      </c>
      <c r="F11" s="34">
        <f>D11*Assumptions!$B$7</f>
        <v/>
      </c>
      <c r="G11" s="34">
        <f>F11*Assumptions!$B$6</f>
        <v/>
      </c>
      <c r="H11" s="33">
        <f>$C11*Assumptions!$B$16</f>
        <v/>
      </c>
      <c r="I11" s="34">
        <f>H11*30</f>
        <v/>
      </c>
      <c r="J11" s="34">
        <f>H11*Assumptions!$B$7</f>
        <v/>
      </c>
      <c r="K11" s="34">
        <f>J11*Assumptions!$B$6</f>
        <v/>
      </c>
      <c r="L11" s="33">
        <f>$C11*Assumptions!$B$17</f>
        <v/>
      </c>
      <c r="M11" s="34">
        <f>L11*30</f>
        <v/>
      </c>
      <c r="N11" s="34">
        <f>L11*Assumptions!$B$7</f>
        <v/>
      </c>
      <c r="O11" s="34">
        <f>N11*Assumptions!$B$6</f>
        <v/>
      </c>
    </row>
    <row r="12">
      <c r="A12" s="27">
        <f>Comparison!B10</f>
        <v/>
      </c>
      <c r="B12" s="27">
        <f>Comparison!E10</f>
        <v/>
      </c>
      <c r="C12" s="32">
        <f>Comparison!AE10</f>
        <v/>
      </c>
      <c r="D12" s="33">
        <f>$C12*Assumptions!$B$15</f>
        <v/>
      </c>
      <c r="E12" s="34">
        <f>D12*30</f>
        <v/>
      </c>
      <c r="F12" s="34">
        <f>D12*Assumptions!$B$7</f>
        <v/>
      </c>
      <c r="G12" s="34">
        <f>F12*Assumptions!$B$6</f>
        <v/>
      </c>
      <c r="H12" s="33">
        <f>$C12*Assumptions!$B$16</f>
        <v/>
      </c>
      <c r="I12" s="34">
        <f>H12*30</f>
        <v/>
      </c>
      <c r="J12" s="34">
        <f>H12*Assumptions!$B$7</f>
        <v/>
      </c>
      <c r="K12" s="34">
        <f>J12*Assumptions!$B$6</f>
        <v/>
      </c>
      <c r="L12" s="33">
        <f>$C12*Assumptions!$B$17</f>
        <v/>
      </c>
      <c r="M12" s="34">
        <f>L12*30</f>
        <v/>
      </c>
      <c r="N12" s="34">
        <f>L12*Assumptions!$B$7</f>
        <v/>
      </c>
      <c r="O12" s="34">
        <f>N12*Assumptions!$B$6</f>
        <v/>
      </c>
    </row>
    <row r="13">
      <c r="A13" s="27">
        <f>Comparison!B11</f>
        <v/>
      </c>
      <c r="B13" s="27">
        <f>Comparison!E11</f>
        <v/>
      </c>
      <c r="C13" s="32">
        <f>Comparison!AE11</f>
        <v/>
      </c>
      <c r="D13" s="33">
        <f>$C13*Assumptions!$B$15</f>
        <v/>
      </c>
      <c r="E13" s="34">
        <f>D13*30</f>
        <v/>
      </c>
      <c r="F13" s="34">
        <f>D13*Assumptions!$B$7</f>
        <v/>
      </c>
      <c r="G13" s="34">
        <f>F13*Assumptions!$B$6</f>
        <v/>
      </c>
      <c r="H13" s="33">
        <f>$C13*Assumptions!$B$16</f>
        <v/>
      </c>
      <c r="I13" s="34">
        <f>H13*30</f>
        <v/>
      </c>
      <c r="J13" s="34">
        <f>H13*Assumptions!$B$7</f>
        <v/>
      </c>
      <c r="K13" s="34">
        <f>J13*Assumptions!$B$6</f>
        <v/>
      </c>
      <c r="L13" s="33">
        <f>$C13*Assumptions!$B$17</f>
        <v/>
      </c>
      <c r="M13" s="34">
        <f>L13*30</f>
        <v/>
      </c>
      <c r="N13" s="34">
        <f>L13*Assumptions!$B$7</f>
        <v/>
      </c>
      <c r="O13" s="34">
        <f>N13*Assumptions!$B$6</f>
        <v/>
      </c>
    </row>
    <row r="14">
      <c r="A14" s="15" t="n"/>
      <c r="B14" s="15" t="n"/>
      <c r="C14" s="15" t="n"/>
      <c r="D14" s="15" t="n"/>
      <c r="E14" s="15" t="n"/>
      <c r="F14" s="15" t="n"/>
      <c r="G14" s="15" t="n"/>
      <c r="H14" s="15" t="n"/>
      <c r="I14" s="15" t="n"/>
      <c r="J14" s="15" t="n"/>
      <c r="K14" s="15" t="n"/>
      <c r="L14" s="15" t="n"/>
      <c r="M14" s="15" t="n"/>
      <c r="N14" s="15" t="n"/>
      <c r="O14" s="15" t="n"/>
    </row>
    <row r="15">
      <c r="A15" s="17" t="inlineStr">
        <is>
          <t>Assumptions: petrol price and electricity rate from Assumptions sheet; monthly = 30 days. EV consumption includes ~12% charging loss.</t>
        </is>
      </c>
      <c r="B15" s="15" t="n"/>
      <c r="C15" s="15" t="n"/>
      <c r="D15" s="15" t="n"/>
      <c r="E15" s="15" t="n"/>
      <c r="F15" s="15" t="n"/>
      <c r="G15" s="15" t="n"/>
      <c r="H15" s="15" t="n"/>
      <c r="I15" s="15" t="n"/>
      <c r="J15" s="15" t="n"/>
      <c r="K15" s="15" t="n"/>
      <c r="L15" s="15" t="n"/>
      <c r="M15" s="15" t="n"/>
      <c r="N15" s="15" t="n"/>
      <c r="O15" s="15" t="n"/>
    </row>
  </sheetData>
  <conditionalFormatting sqref="G4:G13">
    <cfRule type="colorScale" priority="1">
      <colorScale>
        <cfvo type="min"/>
        <cfvo type="max"/>
        <color rgb="0063BE7B"/>
        <color rgb="00F8696B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18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8" customWidth="1" min="2" max="2"/>
    <col width="13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</cols>
  <sheetData>
    <row r="1">
      <c r="A1" s="16" t="inlineStr">
        <is>
          <t>5-year Total Cost of Ownership (excludes resale value) – KNOWN: purchase price &amp; fuel/power rates; ESTIMATED: everything on Assumptions rows 21–25</t>
        </is>
      </c>
      <c r="B1" s="15" t="n"/>
      <c r="C1" s="15" t="n"/>
      <c r="D1" s="15" t="n"/>
      <c r="E1" s="15" t="n"/>
      <c r="F1" s="15" t="n"/>
      <c r="G1" s="15" t="n"/>
      <c r="H1" s="15" t="n"/>
      <c r="I1" s="15" t="n"/>
      <c r="J1" s="15" t="n"/>
      <c r="K1" s="15" t="n"/>
      <c r="L1" s="15" t="n"/>
      <c r="M1" s="15" t="n"/>
      <c r="N1" s="15" t="n"/>
      <c r="O1" s="15" t="n"/>
      <c r="P1" s="15" t="n"/>
      <c r="Q1" s="15" t="n"/>
      <c r="R1" s="15" t="n"/>
    </row>
    <row r="2">
      <c r="A2" s="15" t="n"/>
      <c r="B2" s="15" t="n"/>
      <c r="C2" s="15" t="n"/>
      <c r="D2" s="15" t="n"/>
      <c r="E2" s="15" t="n"/>
      <c r="F2" s="15" t="n"/>
      <c r="G2" s="15" t="n"/>
      <c r="H2" s="15" t="n"/>
      <c r="I2" s="15" t="n"/>
      <c r="J2" s="15" t="n"/>
      <c r="K2" s="15" t="n"/>
      <c r="L2" s="15" t="n"/>
      <c r="M2" s="15" t="n"/>
      <c r="N2" s="15" t="n"/>
      <c r="O2" s="15" t="n"/>
      <c r="P2" s="15" t="n"/>
      <c r="Q2" s="15" t="n"/>
      <c r="R2" s="15" t="n"/>
    </row>
    <row r="3" ht="45" customHeight="1">
      <c r="A3" s="1" t="inlineStr">
        <is>
          <t>Scooter</t>
        </is>
      </c>
      <c r="B3" s="1" t="inlineStr">
        <is>
          <t>Fuel</t>
        </is>
      </c>
      <c r="C3" s="1" t="inlineStr">
        <is>
          <t>On-road price (₹)</t>
        </is>
      </c>
      <c r="D3" s="1" t="inlineStr">
        <is>
          <t>S1 km in period</t>
        </is>
      </c>
      <c r="E3" s="1" t="inlineStr">
        <is>
          <t>S1 Energy/fuel</t>
        </is>
      </c>
      <c r="F3" s="1" t="inlineStr">
        <is>
          <t>S1 Other costs (est.)</t>
        </is>
      </c>
      <c r="G3" s="1" t="inlineStr">
        <is>
          <t>S1 TOTAL TCO</t>
        </is>
      </c>
      <c r="H3" s="1" t="inlineStr">
        <is>
          <t>S1 ₹ per km</t>
        </is>
      </c>
      <c r="I3" s="1" t="inlineStr">
        <is>
          <t>S2 km in period</t>
        </is>
      </c>
      <c r="J3" s="1" t="inlineStr">
        <is>
          <t>S2 Energy/fuel</t>
        </is>
      </c>
      <c r="K3" s="1" t="inlineStr">
        <is>
          <t>S2 Other costs (est.)</t>
        </is>
      </c>
      <c r="L3" s="1" t="inlineStr">
        <is>
          <t>S2 TOTAL TCO</t>
        </is>
      </c>
      <c r="M3" s="1" t="inlineStr">
        <is>
          <t>S2 ₹ per km</t>
        </is>
      </c>
      <c r="N3" s="1" t="inlineStr">
        <is>
          <t>S3 km in period</t>
        </is>
      </c>
      <c r="O3" s="1" t="inlineStr">
        <is>
          <t>S3 Energy/fuel</t>
        </is>
      </c>
      <c r="P3" s="1" t="inlineStr">
        <is>
          <t>S3 Other costs (est.)</t>
        </is>
      </c>
      <c r="Q3" s="1" t="inlineStr">
        <is>
          <t>S3 TOTAL TCO</t>
        </is>
      </c>
      <c r="R3" s="1" t="inlineStr">
        <is>
          <t>S3 ₹ per km</t>
        </is>
      </c>
    </row>
    <row r="4">
      <c r="A4" s="27">
        <f>Comparison!B2</f>
        <v/>
      </c>
      <c r="B4" s="27">
        <f>Comparison!E2</f>
        <v/>
      </c>
      <c r="C4" s="28">
        <f>Comparison!P2</f>
        <v/>
      </c>
      <c r="D4" s="35">
        <f>Assumptions!$B$15*Assumptions!$B$7*Assumptions!$B$6</f>
        <v/>
      </c>
      <c r="E4" s="34">
        <f>D4*'Running Cost'!$C4</f>
        <v/>
      </c>
      <c r="F4" s="34">
        <f>IF(B4="EV",Assumptions!$B$26,Assumptions!$E$26)</f>
        <v/>
      </c>
      <c r="G4" s="36">
        <f>$C4+E4+F4</f>
        <v/>
      </c>
      <c r="H4" s="37">
        <f>G4/D4</f>
        <v/>
      </c>
      <c r="I4" s="35">
        <f>Assumptions!$B$16*Assumptions!$B$7*Assumptions!$B$6</f>
        <v/>
      </c>
      <c r="J4" s="34">
        <f>I4*'Running Cost'!$C4</f>
        <v/>
      </c>
      <c r="K4" s="34">
        <f>IF(B4="EV",Assumptions!$C$26,Assumptions!$F$26)</f>
        <v/>
      </c>
      <c r="L4" s="36">
        <f>$C4+J4+K4</f>
        <v/>
      </c>
      <c r="M4" s="37">
        <f>L4/I4</f>
        <v/>
      </c>
      <c r="N4" s="35">
        <f>Assumptions!$B$17*Assumptions!$B$7*Assumptions!$B$6</f>
        <v/>
      </c>
      <c r="O4" s="34">
        <f>N4*'Running Cost'!$C4</f>
        <v/>
      </c>
      <c r="P4" s="34">
        <f>IF(B4="EV",Assumptions!$D$26,Assumptions!$G$26)</f>
        <v/>
      </c>
      <c r="Q4" s="36">
        <f>$C4+O4+P4</f>
        <v/>
      </c>
      <c r="R4" s="37">
        <f>Q4/N4</f>
        <v/>
      </c>
    </row>
    <row r="5">
      <c r="A5" s="27">
        <f>Comparison!B3</f>
        <v/>
      </c>
      <c r="B5" s="27">
        <f>Comparison!E3</f>
        <v/>
      </c>
      <c r="C5" s="28">
        <f>Comparison!P3</f>
        <v/>
      </c>
      <c r="D5" s="35">
        <f>Assumptions!$B$15*Assumptions!$B$7*Assumptions!$B$6</f>
        <v/>
      </c>
      <c r="E5" s="34">
        <f>D5*'Running Cost'!$C5</f>
        <v/>
      </c>
      <c r="F5" s="34">
        <f>IF(B5="EV",Assumptions!$B$26,Assumptions!$E$26)</f>
        <v/>
      </c>
      <c r="G5" s="36">
        <f>$C5+E5+F5</f>
        <v/>
      </c>
      <c r="H5" s="37">
        <f>G5/D5</f>
        <v/>
      </c>
      <c r="I5" s="35">
        <f>Assumptions!$B$16*Assumptions!$B$7*Assumptions!$B$6</f>
        <v/>
      </c>
      <c r="J5" s="34">
        <f>I5*'Running Cost'!$C5</f>
        <v/>
      </c>
      <c r="K5" s="34">
        <f>IF(B5="EV",Assumptions!$C$26,Assumptions!$F$26)</f>
        <v/>
      </c>
      <c r="L5" s="36">
        <f>$C5+J5+K5</f>
        <v/>
      </c>
      <c r="M5" s="37">
        <f>L5/I5</f>
        <v/>
      </c>
      <c r="N5" s="35">
        <f>Assumptions!$B$17*Assumptions!$B$7*Assumptions!$B$6</f>
        <v/>
      </c>
      <c r="O5" s="34">
        <f>N5*'Running Cost'!$C5</f>
        <v/>
      </c>
      <c r="P5" s="34">
        <f>IF(B5="EV",Assumptions!$D$26,Assumptions!$G$26)</f>
        <v/>
      </c>
      <c r="Q5" s="36">
        <f>$C5+O5+P5</f>
        <v/>
      </c>
      <c r="R5" s="37">
        <f>Q5/N5</f>
        <v/>
      </c>
    </row>
    <row r="6">
      <c r="A6" s="27">
        <f>Comparison!B4</f>
        <v/>
      </c>
      <c r="B6" s="27">
        <f>Comparison!E4</f>
        <v/>
      </c>
      <c r="C6" s="28">
        <f>Comparison!P4</f>
        <v/>
      </c>
      <c r="D6" s="35">
        <f>Assumptions!$B$15*Assumptions!$B$7*Assumptions!$B$6</f>
        <v/>
      </c>
      <c r="E6" s="34">
        <f>D6*'Running Cost'!$C6</f>
        <v/>
      </c>
      <c r="F6" s="34">
        <f>IF(B6="EV",Assumptions!$B$26,Assumptions!$E$26)</f>
        <v/>
      </c>
      <c r="G6" s="36">
        <f>$C6+E6+F6</f>
        <v/>
      </c>
      <c r="H6" s="37">
        <f>G6/D6</f>
        <v/>
      </c>
      <c r="I6" s="35">
        <f>Assumptions!$B$16*Assumptions!$B$7*Assumptions!$B$6</f>
        <v/>
      </c>
      <c r="J6" s="34">
        <f>I6*'Running Cost'!$C6</f>
        <v/>
      </c>
      <c r="K6" s="34">
        <f>IF(B6="EV",Assumptions!$C$26,Assumptions!$F$26)</f>
        <v/>
      </c>
      <c r="L6" s="36">
        <f>$C6+J6+K6</f>
        <v/>
      </c>
      <c r="M6" s="37">
        <f>L6/I6</f>
        <v/>
      </c>
      <c r="N6" s="35">
        <f>Assumptions!$B$17*Assumptions!$B$7*Assumptions!$B$6</f>
        <v/>
      </c>
      <c r="O6" s="34">
        <f>N6*'Running Cost'!$C6</f>
        <v/>
      </c>
      <c r="P6" s="34">
        <f>IF(B6="EV",Assumptions!$D$26,Assumptions!$G$26)</f>
        <v/>
      </c>
      <c r="Q6" s="36">
        <f>$C6+O6+P6</f>
        <v/>
      </c>
      <c r="R6" s="37">
        <f>Q6/N6</f>
        <v/>
      </c>
    </row>
    <row r="7">
      <c r="A7" s="27">
        <f>Comparison!B5</f>
        <v/>
      </c>
      <c r="B7" s="27">
        <f>Comparison!E5</f>
        <v/>
      </c>
      <c r="C7" s="28">
        <f>Comparison!P5</f>
        <v/>
      </c>
      <c r="D7" s="35">
        <f>Assumptions!$B$15*Assumptions!$B$7*Assumptions!$B$6</f>
        <v/>
      </c>
      <c r="E7" s="34">
        <f>D7*'Running Cost'!$C7</f>
        <v/>
      </c>
      <c r="F7" s="34">
        <f>IF(B7="EV",Assumptions!$B$26,Assumptions!$E$26)</f>
        <v/>
      </c>
      <c r="G7" s="36">
        <f>$C7+E7+F7</f>
        <v/>
      </c>
      <c r="H7" s="37">
        <f>G7/D7</f>
        <v/>
      </c>
      <c r="I7" s="35">
        <f>Assumptions!$B$16*Assumptions!$B$7*Assumptions!$B$6</f>
        <v/>
      </c>
      <c r="J7" s="34">
        <f>I7*'Running Cost'!$C7</f>
        <v/>
      </c>
      <c r="K7" s="34">
        <f>IF(B7="EV",Assumptions!$C$26,Assumptions!$F$26)</f>
        <v/>
      </c>
      <c r="L7" s="36">
        <f>$C7+J7+K7</f>
        <v/>
      </c>
      <c r="M7" s="37">
        <f>L7/I7</f>
        <v/>
      </c>
      <c r="N7" s="35">
        <f>Assumptions!$B$17*Assumptions!$B$7*Assumptions!$B$6</f>
        <v/>
      </c>
      <c r="O7" s="34">
        <f>N7*'Running Cost'!$C7</f>
        <v/>
      </c>
      <c r="P7" s="34">
        <f>IF(B7="EV",Assumptions!$D$26,Assumptions!$G$26)</f>
        <v/>
      </c>
      <c r="Q7" s="36">
        <f>$C7+O7+P7</f>
        <v/>
      </c>
      <c r="R7" s="37">
        <f>Q7/N7</f>
        <v/>
      </c>
    </row>
    <row r="8">
      <c r="A8" s="27">
        <f>Comparison!B6</f>
        <v/>
      </c>
      <c r="B8" s="27">
        <f>Comparison!E6</f>
        <v/>
      </c>
      <c r="C8" s="28">
        <f>Comparison!P6</f>
        <v/>
      </c>
      <c r="D8" s="35">
        <f>Assumptions!$B$15*Assumptions!$B$7*Assumptions!$B$6</f>
        <v/>
      </c>
      <c r="E8" s="34">
        <f>D8*'Running Cost'!$C8</f>
        <v/>
      </c>
      <c r="F8" s="34">
        <f>IF(B8="EV",Assumptions!$B$26,Assumptions!$E$26)</f>
        <v/>
      </c>
      <c r="G8" s="36">
        <f>$C8+E8+F8</f>
        <v/>
      </c>
      <c r="H8" s="37">
        <f>G8/D8</f>
        <v/>
      </c>
      <c r="I8" s="35">
        <f>Assumptions!$B$16*Assumptions!$B$7*Assumptions!$B$6</f>
        <v/>
      </c>
      <c r="J8" s="34">
        <f>I8*'Running Cost'!$C8</f>
        <v/>
      </c>
      <c r="K8" s="34">
        <f>IF(B8="EV",Assumptions!$C$26,Assumptions!$F$26)</f>
        <v/>
      </c>
      <c r="L8" s="36">
        <f>$C8+J8+K8</f>
        <v/>
      </c>
      <c r="M8" s="37">
        <f>L8/I8</f>
        <v/>
      </c>
      <c r="N8" s="35">
        <f>Assumptions!$B$17*Assumptions!$B$7*Assumptions!$B$6</f>
        <v/>
      </c>
      <c r="O8" s="34">
        <f>N8*'Running Cost'!$C8</f>
        <v/>
      </c>
      <c r="P8" s="34">
        <f>IF(B8="EV",Assumptions!$D$26,Assumptions!$G$26)</f>
        <v/>
      </c>
      <c r="Q8" s="36">
        <f>$C8+O8+P8</f>
        <v/>
      </c>
      <c r="R8" s="37">
        <f>Q8/N8</f>
        <v/>
      </c>
    </row>
    <row r="9">
      <c r="A9" s="27">
        <f>Comparison!B7</f>
        <v/>
      </c>
      <c r="B9" s="27">
        <f>Comparison!E7</f>
        <v/>
      </c>
      <c r="C9" s="28">
        <f>Comparison!P7</f>
        <v/>
      </c>
      <c r="D9" s="35">
        <f>Assumptions!$B$15*Assumptions!$B$7*Assumptions!$B$6</f>
        <v/>
      </c>
      <c r="E9" s="34">
        <f>D9*'Running Cost'!$C9</f>
        <v/>
      </c>
      <c r="F9" s="34">
        <f>IF(B9="EV",Assumptions!$B$26,Assumptions!$E$26)</f>
        <v/>
      </c>
      <c r="G9" s="36">
        <f>$C9+E9+F9</f>
        <v/>
      </c>
      <c r="H9" s="37">
        <f>G9/D9</f>
        <v/>
      </c>
      <c r="I9" s="35">
        <f>Assumptions!$B$16*Assumptions!$B$7*Assumptions!$B$6</f>
        <v/>
      </c>
      <c r="J9" s="34">
        <f>I9*'Running Cost'!$C9</f>
        <v/>
      </c>
      <c r="K9" s="34">
        <f>IF(B9="EV",Assumptions!$C$26,Assumptions!$F$26)</f>
        <v/>
      </c>
      <c r="L9" s="36">
        <f>$C9+J9+K9</f>
        <v/>
      </c>
      <c r="M9" s="37">
        <f>L9/I9</f>
        <v/>
      </c>
      <c r="N9" s="35">
        <f>Assumptions!$B$17*Assumptions!$B$7*Assumptions!$B$6</f>
        <v/>
      </c>
      <c r="O9" s="34">
        <f>N9*'Running Cost'!$C9</f>
        <v/>
      </c>
      <c r="P9" s="34">
        <f>IF(B9="EV",Assumptions!$D$26,Assumptions!$G$26)</f>
        <v/>
      </c>
      <c r="Q9" s="36">
        <f>$C9+O9+P9</f>
        <v/>
      </c>
      <c r="R9" s="37">
        <f>Q9/N9</f>
        <v/>
      </c>
    </row>
    <row r="10">
      <c r="A10" s="27">
        <f>Comparison!B8</f>
        <v/>
      </c>
      <c r="B10" s="27">
        <f>Comparison!E8</f>
        <v/>
      </c>
      <c r="C10" s="28">
        <f>Comparison!P8</f>
        <v/>
      </c>
      <c r="D10" s="35">
        <f>Assumptions!$B$15*Assumptions!$B$7*Assumptions!$B$6</f>
        <v/>
      </c>
      <c r="E10" s="34">
        <f>D10*'Running Cost'!$C10</f>
        <v/>
      </c>
      <c r="F10" s="34">
        <f>IF(B10="EV",Assumptions!$B$26,Assumptions!$E$26)</f>
        <v/>
      </c>
      <c r="G10" s="36">
        <f>$C10+E10+F10</f>
        <v/>
      </c>
      <c r="H10" s="37">
        <f>G10/D10</f>
        <v/>
      </c>
      <c r="I10" s="35">
        <f>Assumptions!$B$16*Assumptions!$B$7*Assumptions!$B$6</f>
        <v/>
      </c>
      <c r="J10" s="34">
        <f>I10*'Running Cost'!$C10</f>
        <v/>
      </c>
      <c r="K10" s="34">
        <f>IF(B10="EV",Assumptions!$C$26,Assumptions!$F$26)</f>
        <v/>
      </c>
      <c r="L10" s="36">
        <f>$C10+J10+K10</f>
        <v/>
      </c>
      <c r="M10" s="37">
        <f>L10/I10</f>
        <v/>
      </c>
      <c r="N10" s="35">
        <f>Assumptions!$B$17*Assumptions!$B$7*Assumptions!$B$6</f>
        <v/>
      </c>
      <c r="O10" s="34">
        <f>N10*'Running Cost'!$C10</f>
        <v/>
      </c>
      <c r="P10" s="34">
        <f>IF(B10="EV",Assumptions!$D$26,Assumptions!$G$26)</f>
        <v/>
      </c>
      <c r="Q10" s="36">
        <f>$C10+O10+P10</f>
        <v/>
      </c>
      <c r="R10" s="37">
        <f>Q10/N10</f>
        <v/>
      </c>
    </row>
    <row r="11">
      <c r="A11" s="27">
        <f>Comparison!B9</f>
        <v/>
      </c>
      <c r="B11" s="27">
        <f>Comparison!E9</f>
        <v/>
      </c>
      <c r="C11" s="28">
        <f>Comparison!P9</f>
        <v/>
      </c>
      <c r="D11" s="35">
        <f>Assumptions!$B$15*Assumptions!$B$7*Assumptions!$B$6</f>
        <v/>
      </c>
      <c r="E11" s="34">
        <f>D11*'Running Cost'!$C11</f>
        <v/>
      </c>
      <c r="F11" s="34">
        <f>IF(B11="EV",Assumptions!$B$26,Assumptions!$E$26)</f>
        <v/>
      </c>
      <c r="G11" s="36">
        <f>$C11+E11+F11</f>
        <v/>
      </c>
      <c r="H11" s="37">
        <f>G11/D11</f>
        <v/>
      </c>
      <c r="I11" s="35">
        <f>Assumptions!$B$16*Assumptions!$B$7*Assumptions!$B$6</f>
        <v/>
      </c>
      <c r="J11" s="34">
        <f>I11*'Running Cost'!$C11</f>
        <v/>
      </c>
      <c r="K11" s="34">
        <f>IF(B11="EV",Assumptions!$C$26,Assumptions!$F$26)</f>
        <v/>
      </c>
      <c r="L11" s="36">
        <f>$C11+J11+K11</f>
        <v/>
      </c>
      <c r="M11" s="37">
        <f>L11/I11</f>
        <v/>
      </c>
      <c r="N11" s="35">
        <f>Assumptions!$B$17*Assumptions!$B$7*Assumptions!$B$6</f>
        <v/>
      </c>
      <c r="O11" s="34">
        <f>N11*'Running Cost'!$C11</f>
        <v/>
      </c>
      <c r="P11" s="34">
        <f>IF(B11="EV",Assumptions!$D$26,Assumptions!$G$26)</f>
        <v/>
      </c>
      <c r="Q11" s="36">
        <f>$C11+O11+P11</f>
        <v/>
      </c>
      <c r="R11" s="37">
        <f>Q11/N11</f>
        <v/>
      </c>
    </row>
    <row r="12">
      <c r="A12" s="27">
        <f>Comparison!B10</f>
        <v/>
      </c>
      <c r="B12" s="27">
        <f>Comparison!E10</f>
        <v/>
      </c>
      <c r="C12" s="28">
        <f>Comparison!P10</f>
        <v/>
      </c>
      <c r="D12" s="35">
        <f>Assumptions!$B$15*Assumptions!$B$7*Assumptions!$B$6</f>
        <v/>
      </c>
      <c r="E12" s="34">
        <f>D12*'Running Cost'!$C12</f>
        <v/>
      </c>
      <c r="F12" s="34">
        <f>IF(B12="EV",Assumptions!$B$26,Assumptions!$E$26)</f>
        <v/>
      </c>
      <c r="G12" s="36">
        <f>$C12+E12+F12</f>
        <v/>
      </c>
      <c r="H12" s="37">
        <f>G12/D12</f>
        <v/>
      </c>
      <c r="I12" s="35">
        <f>Assumptions!$B$16*Assumptions!$B$7*Assumptions!$B$6</f>
        <v/>
      </c>
      <c r="J12" s="34">
        <f>I12*'Running Cost'!$C12</f>
        <v/>
      </c>
      <c r="K12" s="34">
        <f>IF(B12="EV",Assumptions!$C$26,Assumptions!$F$26)</f>
        <v/>
      </c>
      <c r="L12" s="36">
        <f>$C12+J12+K12</f>
        <v/>
      </c>
      <c r="M12" s="37">
        <f>L12/I12</f>
        <v/>
      </c>
      <c r="N12" s="35">
        <f>Assumptions!$B$17*Assumptions!$B$7*Assumptions!$B$6</f>
        <v/>
      </c>
      <c r="O12" s="34">
        <f>N12*'Running Cost'!$C12</f>
        <v/>
      </c>
      <c r="P12" s="34">
        <f>IF(B12="EV",Assumptions!$D$26,Assumptions!$G$26)</f>
        <v/>
      </c>
      <c r="Q12" s="36">
        <f>$C12+O12+P12</f>
        <v/>
      </c>
      <c r="R12" s="37">
        <f>Q12/N12</f>
        <v/>
      </c>
    </row>
    <row r="13">
      <c r="A13" s="27">
        <f>Comparison!B11</f>
        <v/>
      </c>
      <c r="B13" s="27">
        <f>Comparison!E11</f>
        <v/>
      </c>
      <c r="C13" s="28">
        <f>Comparison!P11</f>
        <v/>
      </c>
      <c r="D13" s="35">
        <f>Assumptions!$B$15*Assumptions!$B$7*Assumptions!$B$6</f>
        <v/>
      </c>
      <c r="E13" s="34">
        <f>D13*'Running Cost'!$C13</f>
        <v/>
      </c>
      <c r="F13" s="34">
        <f>IF(B13="EV",Assumptions!$B$26,Assumptions!$E$26)</f>
        <v/>
      </c>
      <c r="G13" s="36">
        <f>$C13+E13+F13</f>
        <v/>
      </c>
      <c r="H13" s="37">
        <f>G13/D13</f>
        <v/>
      </c>
      <c r="I13" s="35">
        <f>Assumptions!$B$16*Assumptions!$B$7*Assumptions!$B$6</f>
        <v/>
      </c>
      <c r="J13" s="34">
        <f>I13*'Running Cost'!$C13</f>
        <v/>
      </c>
      <c r="K13" s="34">
        <f>IF(B13="EV",Assumptions!$C$26,Assumptions!$F$26)</f>
        <v/>
      </c>
      <c r="L13" s="36">
        <f>$C13+J13+K13</f>
        <v/>
      </c>
      <c r="M13" s="37">
        <f>L13/I13</f>
        <v/>
      </c>
      <c r="N13" s="35">
        <f>Assumptions!$B$17*Assumptions!$B$7*Assumptions!$B$6</f>
        <v/>
      </c>
      <c r="O13" s="34">
        <f>N13*'Running Cost'!$C13</f>
        <v/>
      </c>
      <c r="P13" s="34">
        <f>IF(B13="EV",Assumptions!$D$26,Assumptions!$G$26)</f>
        <v/>
      </c>
      <c r="Q13" s="36">
        <f>$C13+O13+P13</f>
        <v/>
      </c>
      <c r="R13" s="37">
        <f>Q13/N13</f>
        <v/>
      </c>
    </row>
    <row r="14">
      <c r="A14" s="15" t="n"/>
      <c r="B14" s="15" t="n"/>
      <c r="C14" s="15" t="n"/>
      <c r="D14" s="15" t="n"/>
      <c r="E14" s="15" t="n"/>
      <c r="F14" s="15" t="n"/>
      <c r="G14" s="15" t="n"/>
      <c r="H14" s="15" t="n"/>
      <c r="I14" s="15" t="n"/>
      <c r="J14" s="15" t="n"/>
      <c r="K14" s="15" t="n"/>
      <c r="L14" s="15" t="n"/>
      <c r="M14" s="15" t="n"/>
      <c r="N14" s="15" t="n"/>
      <c r="O14" s="15" t="n"/>
      <c r="P14" s="15" t="n"/>
      <c r="Q14" s="15" t="n"/>
      <c r="R14" s="15" t="n"/>
    </row>
    <row r="15">
      <c r="A15" s="16" t="inlineStr">
        <is>
          <t>Reading this honestly:</t>
        </is>
      </c>
      <c r="B15" s="15" t="n"/>
      <c r="C15" s="15" t="n"/>
      <c r="D15" s="15" t="n"/>
      <c r="E15" s="15" t="n"/>
      <c r="F15" s="15" t="n"/>
      <c r="G15" s="15" t="n"/>
      <c r="H15" s="15" t="n"/>
      <c r="I15" s="15" t="n"/>
      <c r="J15" s="15" t="n"/>
      <c r="K15" s="15" t="n"/>
      <c r="L15" s="15" t="n"/>
      <c r="M15" s="15" t="n"/>
      <c r="N15" s="15" t="n"/>
      <c r="O15" s="15" t="n"/>
      <c r="P15" s="15" t="n"/>
      <c r="Q15" s="15" t="n"/>
      <c r="R15" s="15" t="n"/>
    </row>
    <row r="16">
      <c r="A16" s="17" t="inlineStr">
        <is>
          <t>• Resale NOT included: a 5-yr-old Activa/Jupiter may fetch ~₹35–45k vs ~₹20–35k for an out-of-warranty EV (estimate) – narrows but does not close the EV advantage.</t>
        </is>
      </c>
      <c r="B16" s="15" t="n"/>
      <c r="C16" s="15" t="n"/>
      <c r="D16" s="15" t="n"/>
      <c r="E16" s="15" t="n"/>
      <c r="F16" s="15" t="n"/>
      <c r="G16" s="15" t="n"/>
      <c r="H16" s="15" t="n"/>
      <c r="I16" s="15" t="n"/>
      <c r="J16" s="15" t="n"/>
      <c r="K16" s="15" t="n"/>
      <c r="L16" s="15" t="n"/>
      <c r="M16" s="15" t="n"/>
      <c r="N16" s="15" t="n"/>
      <c r="O16" s="15" t="n"/>
      <c r="P16" s="15" t="n"/>
      <c r="Q16" s="15" t="n"/>
      <c r="R16" s="15" t="n"/>
    </row>
    <row r="17">
      <c r="A17" s="17" t="inlineStr">
        <is>
          <t>• Years 6–10: petrol keeps running on servicing alone; an EV will likely need a ₹45–60k battery somewhere in years 6–9 unless use is low.</t>
        </is>
      </c>
      <c r="B17" s="15" t="n"/>
      <c r="C17" s="15" t="n"/>
      <c r="D17" s="15" t="n"/>
      <c r="E17" s="15" t="n"/>
      <c r="F17" s="15" t="n"/>
      <c r="G17" s="15" t="n"/>
      <c r="H17" s="15" t="n"/>
      <c r="I17" s="15" t="n"/>
      <c r="J17" s="15" t="n"/>
      <c r="K17" s="15" t="n"/>
      <c r="L17" s="15" t="n"/>
      <c r="M17" s="15" t="n"/>
      <c r="N17" s="15" t="n"/>
      <c r="O17" s="15" t="n"/>
      <c r="P17" s="15" t="n"/>
      <c r="Q17" s="15" t="n"/>
      <c r="R17" s="15" t="n"/>
    </row>
    <row r="18">
      <c r="A18" s="17" t="inlineStr">
        <is>
          <t>• 'Other costs' = servicing + consumables + insurance renewals + tyres + EV battery provision (Assumptions sheet, editable).</t>
        </is>
      </c>
      <c r="B18" s="15" t="n"/>
      <c r="C18" s="15" t="n"/>
      <c r="D18" s="15" t="n"/>
      <c r="E18" s="15" t="n"/>
      <c r="F18" s="15" t="n"/>
      <c r="G18" s="15" t="n"/>
      <c r="H18" s="15" t="n"/>
      <c r="I18" s="15" t="n"/>
      <c r="J18" s="15" t="n"/>
      <c r="K18" s="15" t="n"/>
      <c r="L18" s="15" t="n"/>
      <c r="M18" s="15" t="n"/>
      <c r="N18" s="15" t="n"/>
      <c r="O18" s="15" t="n"/>
      <c r="P18" s="15" t="n"/>
      <c r="Q18" s="15" t="n"/>
      <c r="R18" s="15" t="n"/>
    </row>
  </sheetData>
  <conditionalFormatting sqref="G4:G13">
    <cfRule type="colorScale" priority="1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L4:L13">
    <cfRule type="colorScale" priority="2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Q4:Q13">
    <cfRule type="colorScale" priority="3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24" customWidth="1" min="1" max="1"/>
    <col width="34" customWidth="1" min="2" max="2"/>
    <col width="40" customWidth="1" min="3" max="3"/>
    <col width="40" customWidth="1" min="4" max="4"/>
  </cols>
  <sheetData>
    <row r="1" ht="45" customHeight="1">
      <c r="A1" s="1" t="inlineStr">
        <is>
          <t>Area</t>
        </is>
      </c>
      <c r="B1" s="1" t="inlineStr">
        <is>
          <t>Your Hero Honda Pleasure (~2015)</t>
        </is>
      </c>
      <c r="C1" s="1" t="inlineStr">
        <is>
          <t>New petrol (Activa / Jupiter / Pleasure+)</t>
        </is>
      </c>
      <c r="D1" s="1" t="inlineStr">
        <is>
          <t>EV (iQube / Chetak C25)</t>
        </is>
      </c>
    </row>
    <row r="2">
      <c r="A2" s="38" t="inlineStr">
        <is>
          <t>Kerb weight</t>
        </is>
      </c>
      <c r="B2" s="4" t="inlineStr">
        <is>
          <t>~104 kg</t>
        </is>
      </c>
      <c r="C2" s="4" t="inlineStr">
        <is>
          <t>102–105 kg (same)</t>
        </is>
      </c>
      <c r="D2" s="4" t="inlineStr">
        <is>
          <t>108–110 kg (+4 to +6 kg)</t>
        </is>
      </c>
    </row>
    <row r="3">
      <c r="A3" s="38" t="inlineStr">
        <is>
          <t>Seat height</t>
        </is>
      </c>
      <c r="B3" s="4" t="inlineStr">
        <is>
          <t>765 mm</t>
        </is>
      </c>
      <c r="C3" s="4" t="inlineStr">
        <is>
          <t>764–770 mm (same)</t>
        </is>
      </c>
      <c r="D3" s="4" t="inlineStr">
        <is>
          <t>763–770 mm (same)</t>
        </is>
      </c>
    </row>
    <row r="4">
      <c r="A4" s="38" t="inlineStr">
        <is>
          <t>Dimensions</t>
        </is>
      </c>
      <c r="B4" s="4" t="inlineStr">
        <is>
          <t>1,750 × 705 × 1,100 mm; 125 mm GC</t>
        </is>
      </c>
      <c r="C4" s="4" t="inlineStr">
        <is>
          <t>~1,830–1,850 mm long; ~155–163 mm GC</t>
        </is>
      </c>
      <c r="D4" s="4" t="inlineStr">
        <is>
          <t>Similar</t>
        </is>
      </c>
    </row>
    <row r="5">
      <c r="A5" s="38" t="inlineStr">
        <is>
          <t>Engine / motor</t>
        </is>
      </c>
      <c r="B5" s="4" t="inlineStr">
        <is>
          <t>102 cc, 6.7 bhp, carburettor</t>
        </is>
      </c>
      <c r="C5" s="4" t="inlineStr">
        <is>
          <t>110 cc, ~8 bhp, fuel injection, idle-stop</t>
        </is>
      </c>
      <c r="D5" s="4" t="inlineStr">
        <is>
          <t>2.2–4.4 kW motor, instant torque</t>
        </is>
      </c>
    </row>
    <row r="6">
      <c r="A6" s="38" t="inlineStr">
        <is>
          <t>Mileage / range</t>
        </is>
      </c>
      <c r="B6" s="4" t="inlineStr">
        <is>
          <t>~45–50 kmpl now (ARAI 63)</t>
        </is>
      </c>
      <c r="C6" s="4" t="inlineStr">
        <is>
          <t>~50–55 kmpl</t>
        </is>
      </c>
      <c r="D6" s="4" t="inlineStr">
        <is>
          <t>75–90 km per charge (real)</t>
        </is>
      </c>
    </row>
    <row r="7">
      <c r="A7" s="38" t="inlineStr">
        <is>
          <t>Storage</t>
        </is>
      </c>
      <c r="B7" s="4" t="inlineStr">
        <is>
          <t>Small</t>
        </is>
      </c>
      <c r="C7" s="4" t="inlineStr">
        <is>
          <t>18 L (Activa) – 33 L (Jupiter)</t>
        </is>
      </c>
      <c r="D7" s="4" t="inlineStr">
        <is>
          <t>25 L (C25); iQube – check</t>
        </is>
      </c>
    </row>
    <row r="8">
      <c r="A8" s="38" t="inlineStr">
        <is>
          <t>Comfort / ride</t>
        </is>
      </c>
      <c r="B8" s="4" t="inlineStr">
        <is>
          <t>Soft but worn</t>
        </is>
      </c>
      <c r="C8" s="4" t="inlineStr">
        <is>
          <t>New suspension, longer seat</t>
        </is>
      </c>
      <c r="D8" s="4" t="inlineStr">
        <is>
          <t>Similar; slightly firmer</t>
        </is>
      </c>
    </row>
    <row r="9">
      <c r="A9" s="38" t="inlineStr">
        <is>
          <t>Handling</t>
        </is>
      </c>
      <c r="B9" s="4" t="inlineStr">
        <is>
          <t>Very light</t>
        </is>
      </c>
      <c r="C9" s="4" t="inlineStr">
        <is>
          <t>Same feel; Pleasure+ closest</t>
        </is>
      </c>
      <c r="D9" s="4" t="inlineStr">
        <is>
          <t>Low centre of gravity, very easy</t>
        </is>
      </c>
    </row>
    <row r="10">
      <c r="A10" s="38" t="inlineStr">
        <is>
          <t>Braking / safety</t>
        </is>
      </c>
      <c r="B10" s="4" t="inlineStr">
        <is>
          <t>Drum/drum, no CBS</t>
        </is>
      </c>
      <c r="C10" s="4" t="inlineStr">
        <is>
          <t>CBS, optional disc, LED lamps, side-stand cut-off</t>
        </is>
      </c>
      <c r="D10" s="4" t="inlineStr">
        <is>
          <t>CBS, disc (iQube), regen braking</t>
        </is>
      </c>
    </row>
    <row r="11">
      <c r="A11" s="38" t="inlineStr">
        <is>
          <t>Reliability</t>
        </is>
      </c>
      <c r="B11" s="4" t="inlineStr">
        <is>
          <t>Proven but ageing</t>
        </is>
      </c>
      <c r="C11" s="4" t="inlineStr">
        <is>
          <t>Excellent</t>
        </is>
      </c>
      <c r="D11" s="4" t="inlineStr">
        <is>
          <t>Good; more electronics</t>
        </is>
      </c>
    </row>
    <row r="12">
      <c r="A12" s="38" t="inlineStr">
        <is>
          <t>Maintenance cost</t>
        </is>
      </c>
      <c r="B12" s="4" t="inlineStr">
        <is>
          <t>Rising with age</t>
        </is>
      </c>
      <c r="C12" s="4" t="inlineStr">
        <is>
          <t>~₹2,000–4,000/yr (est.)</t>
        </is>
      </c>
      <c r="D12" s="4" t="inlineStr">
        <is>
          <t>~₹1,000–1,600/yr (est.)</t>
        </is>
      </c>
    </row>
    <row r="13">
      <c r="A13" s="38" t="inlineStr">
        <is>
          <t>Spare parts</t>
        </is>
      </c>
      <c r="B13" s="4" t="inlineStr">
        <is>
          <t>Plentiful</t>
        </is>
      </c>
      <c r="C13" s="4" t="inlineStr">
        <is>
          <t>Plentiful</t>
        </is>
      </c>
      <c r="D13" s="4" t="inlineStr">
        <is>
          <t>Battery/controller brand-only</t>
        </is>
      </c>
    </row>
    <row r="14">
      <c r="A14" s="38" t="inlineStr">
        <is>
          <t>Service network</t>
        </is>
      </c>
      <c r="B14" s="4" t="inlineStr">
        <is>
          <t>Hero + local mechanics</t>
        </is>
      </c>
      <c r="C14" s="4" t="inlineStr">
        <is>
          <t>Authorised + local mechanics</t>
        </is>
      </c>
      <c r="D14" s="4" t="inlineStr">
        <is>
          <t>Authorised only, fewer outlets</t>
        </is>
      </c>
    </row>
    <row r="15">
      <c r="A15" s="38" t="inlineStr">
        <is>
          <t>Running cost</t>
        </is>
      </c>
      <c r="B15" s="4" t="inlineStr">
        <is>
          <t>~₹2.0–2.3/km</t>
        </is>
      </c>
      <c r="C15" s="4" t="inlineStr">
        <is>
          <t>~₹2.0/km</t>
        </is>
      </c>
      <c r="D15" s="4" t="inlineStr">
        <is>
          <t>~₹0.22/km</t>
        </is>
      </c>
    </row>
    <row r="16">
      <c r="A16" s="38" t="inlineStr">
        <is>
          <t>Purchase price</t>
        </is>
      </c>
      <c r="B16" s="4" t="inlineStr">
        <is>
          <t>Already paid</t>
        </is>
      </c>
      <c r="C16" s="4" t="inlineStr">
        <is>
          <t>₹86k–₹1.01 lakh</t>
        </is>
      </c>
      <c r="D16" s="4" t="inlineStr">
        <is>
          <t>₹96k–₹1.16 lakh</t>
        </is>
      </c>
    </row>
    <row r="17">
      <c r="A17" s="38" t="inlineStr">
        <is>
          <t>Resale</t>
        </is>
      </c>
      <c r="B17" s="4" t="inlineStr">
        <is>
          <t>Low now</t>
        </is>
      </c>
      <c r="C17" s="4" t="inlineStr">
        <is>
          <t>Strong (Activa best)</t>
        </is>
      </c>
      <c r="D17" s="4" t="inlineStr">
        <is>
          <t>Uncertain – battery health</t>
        </is>
      </c>
    </row>
    <row r="18">
      <c r="A18" s="38" t="inlineStr">
        <is>
          <t>Long-term ownership</t>
        </is>
      </c>
      <c r="B18" s="4" t="inlineStr">
        <is>
          <t>Nearing end of economic life</t>
        </is>
      </c>
      <c r="C18" s="4" t="inlineStr">
        <is>
          <t>10+ years normal</t>
        </is>
      </c>
      <c r="D18" s="4" t="inlineStr">
        <is>
          <t>Battery replacement likely yrs 6–9</t>
        </is>
      </c>
    </row>
    <row r="19">
      <c r="A19" s="38" t="inlineStr">
        <is>
          <t>Technology</t>
        </is>
      </c>
      <c r="B19" s="4" t="inlineStr">
        <is>
          <t>None</t>
        </is>
      </c>
      <c r="C19" s="4" t="inlineStr">
        <is>
          <t>TFT/Bluetooth/smart key on upper variants</t>
        </is>
      </c>
      <c r="D19" s="4" t="inlineStr">
        <is>
          <t>App, navigation, OTA (iQube/Ather)</t>
        </is>
      </c>
    </row>
    <row r="20">
      <c r="A20" s="15" t="n"/>
      <c r="B20" s="15" t="n"/>
      <c r="C20" s="15" t="n"/>
      <c r="D20" s="15" t="n"/>
    </row>
    <row r="21" ht="32" customHeight="1">
      <c r="A21" s="39" t="inlineStr">
        <is>
          <t>GAIN by replacing your Pleasure: CBS/LED safety, FI reliability + new warranty, ~10% (petrol) or ~90% (EV) lower energy cost, bigger boot, USB/digital features.</t>
        </is>
      </c>
      <c r="B21" s="15" t="n"/>
      <c r="C21" s="15" t="n"/>
      <c r="D21" s="15" t="n"/>
    </row>
    <row r="22" ht="32" customHeight="1">
      <c r="A22" s="39" t="inlineStr">
        <is>
          <t>LOSE by moving to EV: 2-minute refuels, roadside-mechanic freedom, range for unplanned 100 km+ trips, highway pace (C25), resale certainty; battery cliff ₹45–60k after warranty.</t>
        </is>
      </c>
      <c r="B22" s="15" t="n"/>
      <c r="C22" s="15" t="n"/>
      <c r="D22" s="15" t="n"/>
    </row>
    <row r="23" ht="32" customHeight="1">
      <c r="A23" s="39" t="inlineStr">
        <is>
          <t>GAIN by buying new petrol: zero learning curve, lowest upfront price, strongest resale, service anywhere, no battery risk – but you keep paying ~₹2/km.</t>
        </is>
      </c>
      <c r="B23" s="15" t="n"/>
      <c r="C23" s="15" t="n"/>
      <c r="D23" s="15" t="n"/>
    </row>
  </sheetData>
  <mergeCells count="3">
    <mergeCell ref="A22:D22"/>
    <mergeCell ref="A23:D23"/>
    <mergeCell ref="A21:D2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50" customWidth="1" min="3" max="3"/>
    <col width="16" customWidth="1" min="4" max="4"/>
    <col width="8" customWidth="1" min="5" max="5"/>
    <col width="8" customWidth="1" min="6" max="6"/>
    <col width="26" customWidth="1" min="7" max="7"/>
    <col width="40" customWidth="1" min="8" max="8"/>
  </cols>
  <sheetData>
    <row r="1" ht="45" customHeight="1">
      <c r="A1" s="1" t="inlineStr">
        <is>
          <t>Brand</t>
        </is>
      </c>
      <c r="B1" s="1" t="inlineStr">
        <is>
          <t>Dealer</t>
        </is>
      </c>
      <c r="C1" s="1" t="inlineStr">
        <is>
          <t>Address</t>
        </is>
      </c>
      <c r="D1" s="1" t="inlineStr">
        <is>
          <t>Contact</t>
        </is>
      </c>
      <c r="E1" s="1" t="inlineStr">
        <is>
          <t>Sales</t>
        </is>
      </c>
      <c r="F1" s="1" t="inlineStr">
        <is>
          <t>Service</t>
        </is>
      </c>
      <c r="G1" s="1" t="inlineStr">
        <is>
          <t>Models of interest</t>
        </is>
      </c>
      <c r="H1" s="1" t="inlineStr">
        <is>
          <t>Status</t>
        </is>
      </c>
    </row>
    <row r="2">
      <c r="A2" s="4" t="inlineStr">
        <is>
          <t>Honda</t>
        </is>
      </c>
      <c r="B2" s="4" t="inlineStr">
        <is>
          <t>Pearl Honda</t>
        </is>
      </c>
      <c r="C2" s="4" t="inlineStr">
        <is>
          <t>No. 5 &amp; 6, Ettayapuram Rd, Tuticorin Melur, State Bank Colony – 628002</t>
        </is>
      </c>
      <c r="D2" s="4" t="inlineStr">
        <is>
          <t>Not listed</t>
        </is>
      </c>
      <c r="E2" s="4" t="inlineStr">
        <is>
          <t>✅</t>
        </is>
      </c>
      <c r="F2" s="4" t="inlineStr">
        <is>
          <t>✅</t>
        </is>
      </c>
      <c r="G2" s="4" t="inlineStr">
        <is>
          <t>Activa 110; Activa e/QC1 ⚠️</t>
        </is>
      </c>
      <c r="H2" s="4" t="inlineStr">
        <is>
          <t>Activa listed. QC1/Activa e: dealer/service availability not confirmed</t>
        </is>
      </c>
    </row>
    <row r="3">
      <c r="A3" s="4" t="inlineStr">
        <is>
          <t>TVS</t>
        </is>
      </c>
      <c r="B3" s="4" t="inlineStr">
        <is>
          <t>Nellai Trading Automobile</t>
        </is>
      </c>
      <c r="C3" s="4" t="inlineStr">
        <is>
          <t>16H/1, Palayamkottai Road – 628008</t>
        </is>
      </c>
      <c r="D3" s="4" t="inlineStr">
        <is>
          <t>—</t>
        </is>
      </c>
      <c r="E3" s="4" t="inlineStr">
        <is>
          <t>✅</t>
        </is>
      </c>
      <c r="F3" s="4" t="inlineStr">
        <is>
          <t>✅</t>
        </is>
      </c>
      <c r="G3" s="4" t="inlineStr">
        <is>
          <t>Jupiter 110, iQube†, Orbiter†</t>
        </is>
      </c>
      <c r="H3" s="4" t="inlineStr">
        <is>
          <t>Listed TVS dealer – confirm iQube authorisation on dealers.tvsmotor.com/iqube</t>
        </is>
      </c>
    </row>
    <row r="4">
      <c r="A4" s="4" t="inlineStr">
        <is>
          <t>TVS</t>
        </is>
      </c>
      <c r="B4" s="4" t="inlineStr">
        <is>
          <t>Mizbah Motors</t>
        </is>
      </c>
      <c r="C4" s="4" t="inlineStr">
        <is>
          <t>Ettayapuram Main Rd, near New Bus Stand – 628003</t>
        </is>
      </c>
      <c r="D4" s="4" t="inlineStr">
        <is>
          <t>—</t>
        </is>
      </c>
      <c r="E4" s="4" t="inlineStr">
        <is>
          <t>✅</t>
        </is>
      </c>
      <c r="F4" s="4" t="inlineStr">
        <is>
          <t>✅</t>
        </is>
      </c>
      <c r="G4" s="4" t="inlineStr">
        <is>
          <t>Jupiter 110, iQube†</t>
        </is>
      </c>
      <c r="H4" s="4" t="inlineStr">
        <is>
          <t>Listed TVS dealer</t>
        </is>
      </c>
    </row>
    <row r="5">
      <c r="A5" s="4" t="inlineStr">
        <is>
          <t>TVS (district)</t>
        </is>
      </c>
      <c r="B5" s="4" t="inlineStr">
        <is>
          <t>Sri Ganga Motors / Udhayam Motors / Suresh Motors / Shree Om Muruga Agency</t>
        </is>
      </c>
      <c r="C5" s="4" t="inlineStr">
        <is>
          <t>Kovilpatti Rd 628718 / 628617 / Kulasekarapattinam Rd 628203 / Pudur 628905</t>
        </is>
      </c>
      <c r="D5" s="4" t="inlineStr">
        <is>
          <t>—</t>
        </is>
      </c>
      <c r="E5" s="4" t="inlineStr">
        <is>
          <t>✅</t>
        </is>
      </c>
      <c r="F5" s="4" t="inlineStr">
        <is>
          <t>✅</t>
        </is>
      </c>
      <c r="G5" s="4" t="inlineStr">
        <is>
          <t>—</t>
        </is>
      </c>
      <c r="H5" s="4" t="inlineStr">
        <is>
          <t>Outside city – back-up service</t>
        </is>
      </c>
    </row>
    <row r="6">
      <c r="A6" s="4" t="inlineStr">
        <is>
          <t>Ather</t>
        </is>
      </c>
      <c r="B6" s="4" t="inlineStr">
        <is>
          <t>Ather – Thoothukudi Palayamkottai Road</t>
        </is>
      </c>
      <c r="C6" s="4" t="inlineStr">
        <is>
          <t>7B, 7C, 7D Palayamkottai Rd – 628008</t>
        </is>
      </c>
      <c r="D6" s="4" t="inlineStr">
        <is>
          <t>via atherenergy.com</t>
        </is>
      </c>
      <c r="E6" s="4" t="inlineStr">
        <is>
          <t>✅</t>
        </is>
      </c>
      <c r="F6" s="4" t="inlineStr">
        <is>
          <t>✅</t>
        </is>
      </c>
      <c r="G6" s="4" t="inlineStr">
        <is>
          <t>Rizta S</t>
        </is>
      </c>
      <c r="H6" s="4" t="inlineStr">
        <is>
          <t>Listed</t>
        </is>
      </c>
    </row>
    <row r="7">
      <c r="A7" s="4" t="inlineStr">
        <is>
          <t>Bajaj</t>
        </is>
      </c>
      <c r="B7" s="4" t="inlineStr">
        <is>
          <t>Susee Bajaj</t>
        </is>
      </c>
      <c r="C7" s="4" t="inlineStr">
        <is>
          <t>99-A, Ettayapuram Road – 628001</t>
        </is>
      </c>
      <c r="D7" s="4" t="inlineStr">
        <is>
          <t>—</t>
        </is>
      </c>
      <c r="E7" s="4" t="inlineStr">
        <is>
          <t>✅</t>
        </is>
      </c>
      <c r="F7" s="4" t="inlineStr">
        <is>
          <t>✅</t>
        </is>
      </c>
      <c r="G7" s="4" t="inlineStr">
        <is>
          <t>Chetak C25 ⚠️</t>
        </is>
      </c>
      <c r="H7" s="4" t="inlineStr">
        <is>
          <t>Chetak dealer/service availability not confirmed – check chetak.com locator</t>
        </is>
      </c>
    </row>
    <row r="8">
      <c r="A8" s="4" t="inlineStr">
        <is>
          <t>Bajaj</t>
        </is>
      </c>
      <c r="B8" s="4" t="inlineStr">
        <is>
          <t>APT Autos</t>
        </is>
      </c>
      <c r="C8" s="4" t="inlineStr">
        <is>
          <t>131/1 Palamkottai Road – 628215</t>
        </is>
      </c>
      <c r="D8" s="4" t="inlineStr">
        <is>
          <t>—</t>
        </is>
      </c>
      <c r="E8" s="4" t="inlineStr">
        <is>
          <t>✅</t>
        </is>
      </c>
      <c r="F8" s="4" t="inlineStr">
        <is>
          <t>✅</t>
        </is>
      </c>
      <c r="G8" s="4" t="inlineStr">
        <is>
          <t>Chetak ⚠️</t>
        </is>
      </c>
      <c r="H8" s="4" t="inlineStr">
        <is>
          <t>Chetak dealer/service availability not confirmed</t>
        </is>
      </c>
    </row>
    <row r="9">
      <c r="A9" s="4" t="inlineStr">
        <is>
          <t>Hero</t>
        </is>
      </c>
      <c r="B9" s="4" t="inlineStr">
        <is>
          <t>Arvinth Auto Agency</t>
        </is>
      </c>
      <c r="C9" s="4" t="inlineStr">
        <is>
          <t>No 3/201, Korampallam – 628101</t>
        </is>
      </c>
      <c r="D9" s="4" t="inlineStr">
        <is>
          <t>93550 29428</t>
        </is>
      </c>
      <c r="E9" s="4" t="inlineStr">
        <is>
          <t>✅</t>
        </is>
      </c>
      <c r="F9" s="4" t="inlineStr">
        <is>
          <t>✅</t>
        </is>
      </c>
      <c r="G9" s="4" t="inlineStr">
        <is>
          <t>Pleasure+ XTEC; Vida VX2 ⚠️</t>
        </is>
      </c>
      <c r="H9" s="4" t="inlineStr">
        <is>
          <t>Pleasure+ listed. Vida: dealer/service availability not confirmed</t>
        </is>
      </c>
    </row>
    <row r="10">
      <c r="A10" s="4" t="inlineStr">
        <is>
          <t>Suzuki</t>
        </is>
      </c>
      <c r="B10" s="4" t="inlineStr">
        <is>
          <t>Welcome Motors</t>
        </is>
      </c>
      <c r="C10" s="4" t="inlineStr">
        <is>
          <t>No. 99 College Teachers Colony, Tirunelveli–Thoothukudi Main Rd, Korampallam Post – 628101</t>
        </is>
      </c>
      <c r="D10" s="4" t="inlineStr">
        <is>
          <t>73737 06007</t>
        </is>
      </c>
      <c r="E10" s="4" t="inlineStr">
        <is>
          <t>✅</t>
        </is>
      </c>
      <c r="F10" s="4" t="inlineStr">
        <is>
          <t>✅</t>
        </is>
      </c>
      <c r="G10" s="4" t="inlineStr">
        <is>
          <t>Access 125</t>
        </is>
      </c>
      <c r="H10" s="4" t="inlineStr">
        <is>
          <t>Listed (only Suzuki outlet)</t>
        </is>
      </c>
    </row>
    <row r="11">
      <c r="A11" s="4" t="inlineStr">
        <is>
          <t>Yamaha</t>
        </is>
      </c>
      <c r="B11" s="4" t="inlineStr">
        <is>
          <t>Lakhmi Motors</t>
        </is>
      </c>
      <c r="C11" s="4" t="inlineStr">
        <is>
          <t>247–249 Muthu Mahal, Opp. KTC Depot, Tiruchendur Rd – 628216</t>
        </is>
      </c>
      <c r="D11" s="4" t="inlineStr">
        <is>
          <t>73737 30152</t>
        </is>
      </c>
      <c r="E11" s="4" t="inlineStr">
        <is>
          <t>✅</t>
        </is>
      </c>
      <c r="F11" s="4" t="inlineStr">
        <is>
          <t>✅</t>
        </is>
      </c>
      <c r="G11" s="4" t="inlineStr">
        <is>
          <t>Fascino 125</t>
        </is>
      </c>
      <c r="H11" s="4" t="inlineStr">
        <is>
          <t>Listed</t>
        </is>
      </c>
    </row>
    <row r="12">
      <c r="A12" s="4" t="inlineStr">
        <is>
          <t>Yamaha</t>
        </is>
      </c>
      <c r="B12" s="4" t="inlineStr">
        <is>
          <t>Devi Motors</t>
        </is>
      </c>
      <c r="C12" s="4" t="inlineStr">
        <is>
          <t>1/201/1A Main Rd, Puthiamputhur – 628402</t>
        </is>
      </c>
      <c r="D12" s="4" t="inlineStr">
        <is>
          <t>87543 85656</t>
        </is>
      </c>
      <c r="E12" s="4" t="inlineStr">
        <is>
          <t>✅</t>
        </is>
      </c>
      <c r="F12" s="4" t="inlineStr">
        <is>
          <t>✅</t>
        </is>
      </c>
      <c r="G12" s="4" t="inlineStr">
        <is>
          <t>Fascino 125</t>
        </is>
      </c>
      <c r="H12" s="4" t="inlineStr">
        <is>
          <t>Listed (outside city)</t>
        </is>
      </c>
    </row>
    <row r="13">
      <c r="A13" s="15" t="n"/>
      <c r="B13" s="15" t="n"/>
      <c r="C13" s="15" t="n"/>
      <c r="D13" s="15" t="n"/>
      <c r="E13" s="15" t="n"/>
      <c r="F13" s="15" t="n"/>
      <c r="G13" s="15" t="n"/>
      <c r="H13" s="15" t="n"/>
    </row>
    <row r="14">
      <c r="A14" s="17" t="inlineStr">
        <is>
          <t>Source: dealer directories (BikeWale, Bikes4Sale, CarBike360) via search, Oct 2026. Verify on each brand's official dealer locator before paying.</t>
        </is>
      </c>
      <c r="B14" s="15" t="n"/>
      <c r="C14" s="15" t="n"/>
      <c r="D14" s="15" t="n"/>
      <c r="E14" s="15" t="n"/>
      <c r="F14" s="15" t="n"/>
      <c r="G14" s="15" t="n"/>
      <c r="H14" s="15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26" customWidth="1" min="1" max="1"/>
    <col width="30" customWidth="1" min="2" max="2"/>
    <col width="12" customWidth="1" min="3" max="3"/>
    <col width="16" customWidth="1" min="4" max="4"/>
    <col width="18" customWidth="1" min="5" max="5"/>
    <col width="60" customWidth="1" min="6" max="6"/>
  </cols>
  <sheetData>
    <row r="1">
      <c r="A1" s="18" t="inlineStr">
        <is>
          <t>Top 5 EV</t>
        </is>
      </c>
      <c r="B1" s="15" t="n"/>
      <c r="C1" s="15" t="n"/>
      <c r="D1" s="15" t="n"/>
      <c r="E1" s="15" t="n"/>
      <c r="F1" s="15" t="n"/>
    </row>
    <row r="2" ht="30" customHeight="1">
      <c r="A2" s="16" t="inlineStr">
        <is>
          <t>1</t>
        </is>
      </c>
      <c r="B2" s="16" t="inlineStr">
        <is>
          <t>TVS iQube 2.2 kWh</t>
        </is>
      </c>
      <c r="C2" s="40" t="inlineStr">
        <is>
          <t>Proven EV, densest authorised network in Thoothukudi, light enough, quick; 5 yr/70k battery extension.</t>
        </is>
      </c>
      <c r="D2" s="15" t="n"/>
      <c r="E2" s="15" t="n"/>
      <c r="F2" s="15" t="n"/>
    </row>
    <row r="3" ht="30" customHeight="1">
      <c r="A3" s="16" t="inlineStr">
        <is>
          <t>2</t>
        </is>
      </c>
      <c r="B3" s="16" t="inlineStr">
        <is>
          <t>Bajaj Chetak C25</t>
        </is>
      </c>
      <c r="C3" s="40" t="inlineStr">
        <is>
          <t>Best value &amp; best weight-to-range (108 kg, ~90 km, ~₹96.5k); 55 km/h cap and unconfirmed local Chetak service.</t>
        </is>
      </c>
      <c r="D3" s="15" t="n"/>
      <c r="E3" s="15" t="n"/>
      <c r="F3" s="15" t="n"/>
    </row>
    <row r="4" ht="30" customHeight="1">
      <c r="A4" s="16" t="inlineStr">
        <is>
          <t>3</t>
        </is>
      </c>
      <c r="B4" s="16" t="inlineStr">
        <is>
          <t>TVS Orbiter V1</t>
        </is>
      </c>
      <c r="C4" s="40" t="inlineStr">
        <is>
          <t>Lightest practical EV (101 kg, 760 mm, 34 L) with TVS backing; small battery = ≤40 km/day.</t>
        </is>
      </c>
      <c r="D4" s="15" t="n"/>
      <c r="E4" s="15" t="n"/>
      <c r="F4" s="15" t="n"/>
    </row>
    <row r="5" ht="30" customHeight="1">
      <c r="A5" s="16" t="inlineStr">
        <is>
          <t>4</t>
        </is>
      </c>
      <c r="B5" s="16" t="inlineStr">
        <is>
          <t>Ather Rizta S</t>
        </is>
      </c>
      <c r="C5" s="40" t="inlineStr">
        <is>
          <t>Best EV product (range, comfort, confirmed local centre) but 119 kg and ~₹30k dearer.</t>
        </is>
      </c>
      <c r="D5" s="15" t="n"/>
      <c r="E5" s="15" t="n"/>
      <c r="F5" s="15" t="n"/>
    </row>
    <row r="6" ht="30" customHeight="1">
      <c r="A6" s="16" t="inlineStr">
        <is>
          <t>5</t>
        </is>
      </c>
      <c r="B6" s="16" t="inlineStr">
        <is>
          <t>Hero Vida VX2 Go</t>
        </is>
      </c>
      <c r="C6" s="40" t="inlineStr">
        <is>
          <t>Removable battery &amp; 5-yr battery warranty, but local Vida sales/service unconfirmed.</t>
        </is>
      </c>
      <c r="D6" s="15" t="n"/>
      <c r="E6" s="15" t="n"/>
      <c r="F6" s="15" t="n"/>
    </row>
    <row r="7">
      <c r="A7" s="15" t="n"/>
      <c r="B7" s="15" t="n"/>
      <c r="C7" s="15" t="n"/>
      <c r="D7" s="15" t="n"/>
      <c r="E7" s="15" t="n"/>
      <c r="F7" s="15" t="n"/>
    </row>
    <row r="8">
      <c r="A8" s="18" t="inlineStr">
        <is>
          <t>Top 5 Petrol</t>
        </is>
      </c>
      <c r="B8" s="15" t="n"/>
      <c r="C8" s="15" t="n"/>
      <c r="D8" s="15" t="n"/>
      <c r="E8" s="15" t="n"/>
      <c r="F8" s="15" t="n"/>
    </row>
    <row r="9" ht="30" customHeight="1">
      <c r="A9" s="16" t="inlineStr">
        <is>
          <t>1</t>
        </is>
      </c>
      <c r="B9" s="16" t="inlineStr">
        <is>
          <t>Honda Activa 110</t>
        </is>
      </c>
      <c r="C9" s="40" t="inlineStr">
        <is>
          <t>Unbeatable reliability &amp; resale; same weight/seat as your Pleasure; warranty to 10 yrs; city dealer.</t>
        </is>
      </c>
      <c r="D9" s="15" t="n"/>
      <c r="E9" s="15" t="n"/>
      <c r="F9" s="15" t="n"/>
    </row>
    <row r="10" ht="30" customHeight="1">
      <c r="A10" s="16" t="inlineStr">
        <is>
          <t>2</t>
        </is>
      </c>
      <c r="B10" s="16" t="inlineStr">
        <is>
          <t>TVS Jupiter 110</t>
        </is>
      </c>
      <c r="C10" s="40" t="inlineStr">
        <is>
          <t>Most practical: 33 L boot, front fuel filler, disc option, iGO assist, 5-yr warranty, several local dealers.</t>
        </is>
      </c>
      <c r="D10" s="15" t="n"/>
      <c r="E10" s="15" t="n"/>
      <c r="F10" s="15" t="n"/>
    </row>
    <row r="11" ht="30" customHeight="1">
      <c r="A11" s="16" t="inlineStr">
        <is>
          <t>3</t>
        </is>
      </c>
      <c r="B11" s="16" t="inlineStr">
        <is>
          <t>Hero Pleasure+ XTEC</t>
        </is>
      </c>
      <c r="C11" s="40" t="inlineStr">
        <is>
          <t>Cheapest (₹86.6k), lowest ₹/kg, most familiar; LED projector + Bluetooth + i3S.</t>
        </is>
      </c>
      <c r="D11" s="15" t="n"/>
      <c r="E11" s="15" t="n"/>
      <c r="F11" s="15" t="n"/>
    </row>
    <row r="12" ht="30" customHeight="1">
      <c r="A12" s="16" t="inlineStr">
        <is>
          <t>4</t>
        </is>
      </c>
      <c r="B12" s="16" t="inlineStr">
        <is>
          <t>Suzuki Access 125</t>
        </is>
      </c>
      <c r="C12" s="40" t="inlineStr">
        <is>
          <t>Light 125cc with the smoothest engine; slightly lower mileage; one local outlet.</t>
        </is>
      </c>
      <c r="D12" s="15" t="n"/>
      <c r="E12" s="15" t="n"/>
      <c r="F12" s="15" t="n"/>
    </row>
    <row r="13" ht="30" customHeight="1">
      <c r="A13" s="16" t="inlineStr">
        <is>
          <t>5</t>
        </is>
      </c>
      <c r="B13" s="16" t="inlineStr">
        <is>
          <t>Yamaha Fascino 125 Hybrid</t>
        </is>
      </c>
      <c r="C13" s="40" t="inlineStr">
        <is>
          <t>Lightest petrol (99 kg), frugal; taller seat, small boot, cramped pillion.</t>
        </is>
      </c>
      <c r="D13" s="15" t="n"/>
      <c r="E13" s="15" t="n"/>
      <c r="F13" s="15" t="n"/>
    </row>
    <row r="14">
      <c r="A14" s="15" t="n"/>
      <c r="B14" s="15" t="n"/>
      <c r="C14" s="15" t="n"/>
      <c r="D14" s="15" t="n"/>
      <c r="E14" s="15" t="n"/>
      <c r="F14" s="15" t="n"/>
    </row>
    <row r="15">
      <c r="A15" s="18" t="inlineStr">
        <is>
          <t>Final Shortlist</t>
        </is>
      </c>
      <c r="B15" s="15" t="n"/>
      <c r="C15" s="15" t="n"/>
      <c r="D15" s="15" t="n"/>
      <c r="E15" s="15" t="n"/>
      <c r="F15" s="15" t="n"/>
    </row>
    <row r="16">
      <c r="A16" s="24" t="inlineStr">
        <is>
          <t>Category</t>
        </is>
      </c>
      <c r="B16" s="24" t="inlineStr">
        <is>
          <t>Scooter</t>
        </is>
      </c>
      <c r="C16" s="24" t="inlineStr">
        <is>
          <t>Weight (kg)</t>
        </is>
      </c>
      <c r="D16" s="24" t="inlineStr">
        <is>
          <t>Price (₹ on-road)</t>
        </is>
      </c>
      <c r="E16" s="24" t="inlineStr">
        <is>
          <t>Range / Mileage</t>
        </is>
      </c>
      <c r="F16" s="24" t="inlineStr">
        <is>
          <t>Why buy</t>
        </is>
      </c>
    </row>
    <row r="17">
      <c r="A17" s="41" t="inlineStr">
        <is>
          <t>Best EV</t>
        </is>
      </c>
      <c r="B17" s="29" t="inlineStr">
        <is>
          <t>TVS iQube 2.2 kWh</t>
        </is>
      </c>
      <c r="C17" s="27">
        <f>Comparison!F3</f>
        <v/>
      </c>
      <c r="D17" s="28">
        <f>Comparison!P3</f>
        <v/>
      </c>
      <c r="E17" s="29" t="inlineStr">
        <is>
          <t>75 km real</t>
        </is>
      </c>
      <c r="F17" s="29" t="inlineStr">
        <is>
          <t>Proven, quick, strongest local EV service</t>
        </is>
      </c>
    </row>
    <row r="18">
      <c r="A18" s="41" t="inlineStr">
        <is>
          <t>Best Lightweight EV</t>
        </is>
      </c>
      <c r="B18" s="29" t="inlineStr">
        <is>
          <t>TVS Orbiter V1</t>
        </is>
      </c>
      <c r="C18" s="27">
        <f>Comparison!F7</f>
        <v/>
      </c>
      <c r="D18" s="28">
        <f>Comparison!P7</f>
        <v/>
      </c>
      <c r="E18" s="29" t="inlineStr">
        <is>
          <t>~65–75 km (est.)</t>
        </is>
      </c>
      <c r="F18" s="29" t="inlineStr">
        <is>
          <t>Lightest full-size EV, 34 L boot, TVS network</t>
        </is>
      </c>
    </row>
    <row r="19">
      <c r="A19" s="41" t="inlineStr">
        <is>
          <t>Best Value EV</t>
        </is>
      </c>
      <c r="B19" s="29" t="inlineStr">
        <is>
          <t>Bajaj Chetak C25</t>
        </is>
      </c>
      <c r="C19" s="27">
        <f>Comparison!F5</f>
        <v/>
      </c>
      <c r="D19" s="28">
        <f>Comparison!P5</f>
        <v/>
      </c>
      <c r="E19" s="29" t="inlineStr">
        <is>
          <t>~90 km real</t>
        </is>
      </c>
      <c r="F19" s="29" t="inlineStr">
        <is>
          <t>Lowest 5-yr cost, best range/kg among light EVs</t>
        </is>
      </c>
    </row>
    <row r="20">
      <c r="A20" s="41" t="inlineStr">
        <is>
          <t>Best Petrol</t>
        </is>
      </c>
      <c r="B20" s="29" t="inlineStr">
        <is>
          <t>Honda Activa 110</t>
        </is>
      </c>
      <c r="C20" s="27">
        <f>Comparison!F2</f>
        <v/>
      </c>
      <c r="D20" s="28">
        <f>Comparison!P2</f>
        <v/>
      </c>
      <c r="E20" s="29" t="inlineStr">
        <is>
          <t>~50 kmpl</t>
        </is>
      </c>
      <c r="F20" s="29" t="inlineStr">
        <is>
          <t>10-year reliability, resale, extended warranty</t>
        </is>
      </c>
    </row>
    <row r="21">
      <c r="A21" s="41" t="inlineStr">
        <is>
          <t>Best Lightweight Petrol</t>
        </is>
      </c>
      <c r="B21" s="29" t="inlineStr">
        <is>
          <t>Yamaha Fascino 125 Hybrid</t>
        </is>
      </c>
      <c r="C21" s="27">
        <f>Comparison!F10</f>
        <v/>
      </c>
      <c r="D21" s="28">
        <f>Comparison!P10</f>
        <v/>
      </c>
      <c r="E21" s="29" t="inlineStr">
        <is>
          <t>~50–55 kmpl</t>
        </is>
      </c>
      <c r="F21" s="29" t="inlineStr">
        <is>
          <t>Lightest petrol, frugal hybrid assist</t>
        </is>
      </c>
    </row>
    <row r="22">
      <c r="A22" s="41" t="inlineStr">
        <is>
          <t>Best Value Petrol</t>
        </is>
      </c>
      <c r="B22" s="29" t="inlineStr">
        <is>
          <t>Hero Pleasure+ XTEC</t>
        </is>
      </c>
      <c r="C22" s="27">
        <f>Comparison!F6</f>
        <v/>
      </c>
      <c r="D22" s="28">
        <f>Comparison!P6</f>
        <v/>
      </c>
      <c r="E22" s="29" t="inlineStr">
        <is>
          <t>~48–54 kmpl</t>
        </is>
      </c>
      <c r="F22" s="29" t="inlineStr">
        <is>
          <t>Cheapest; feels like your Pleasure</t>
        </is>
      </c>
    </row>
    <row r="23">
      <c r="A23" s="41" t="inlineStr">
        <is>
          <t>Best Long-Term (5–10 yr)</t>
        </is>
      </c>
      <c r="B23" s="29" t="inlineStr">
        <is>
          <t>Honda Activa 110</t>
        </is>
      </c>
      <c r="C23" s="27">
        <f>Comparison!F2</f>
        <v/>
      </c>
      <c r="D23" s="28">
        <f>Comparison!P2</f>
        <v/>
      </c>
      <c r="E23" s="29" t="inlineStr">
        <is>
          <t>~50 kmpl</t>
        </is>
      </c>
      <c r="F23" s="29" t="inlineStr">
        <is>
          <t>No battery cliff, best resale, service everywhere</t>
        </is>
      </c>
    </row>
    <row r="24">
      <c r="A24" s="15" t="n"/>
      <c r="B24" s="15" t="n"/>
      <c r="C24" s="15" t="n"/>
      <c r="D24" s="15" t="n"/>
      <c r="E24" s="15" t="n"/>
      <c r="F24" s="15" t="n"/>
    </row>
    <row r="25">
      <c r="A25" s="18" t="inlineStr">
        <is>
          <t>FINAL TOP 3</t>
        </is>
      </c>
      <c r="B25" s="15" t="n"/>
      <c r="C25" s="15" t="n"/>
      <c r="D25" s="15" t="n"/>
      <c r="E25" s="15" t="n"/>
      <c r="F25" s="15" t="n"/>
    </row>
    <row r="26" ht="32" customHeight="1">
      <c r="A26" s="39" t="inlineStr">
        <is>
          <t>🥇 1st: TVS iQube 2.2 kWh (+ 5 yr/70k battery extension) – if you have home charging and ride ≤45 km/day (3.1 kWh if more).</t>
        </is>
      </c>
      <c r="B26" s="15" t="n"/>
      <c r="C26" s="15" t="n"/>
      <c r="D26" s="15" t="n"/>
      <c r="E26" s="15" t="n"/>
      <c r="F26" s="15" t="n"/>
    </row>
    <row r="27" ht="32" customHeight="1">
      <c r="A27" s="39" t="inlineStr">
        <is>
          <t>🥈 2nd: Honda Activa 110 (DLX/H-Smart) – if no home charging or you want a no-surprises 10-year scooter. (Alt: TVS Jupiter 110 for the 33 L boot.)</t>
        </is>
      </c>
      <c r="B27" s="15" t="n"/>
      <c r="C27" s="15" t="n"/>
      <c r="D27" s="15" t="n"/>
      <c r="E27" s="15" t="n"/>
      <c r="F27" s="15" t="n"/>
    </row>
    <row r="28" ht="32" customHeight="1">
      <c r="A28" s="39" t="inlineStr">
        <is>
          <t>🥉 3rd: Bajaj Chetak C25 – EV under ₹1 lakh with ~90 km real range; confirm local Chetak service in writing first.</t>
        </is>
      </c>
      <c r="B28" s="15" t="n"/>
      <c r="C28" s="15" t="n"/>
      <c r="D28" s="15" t="n"/>
      <c r="E28" s="15" t="n"/>
      <c r="F28" s="15" t="n"/>
    </row>
    <row r="29" ht="32" customHeight="1">
      <c r="A29" s="39" t="inlineStr">
        <is>
          <t>EV vs Petrol: &lt;15 km/day → petrol; 15–45 km/day with home charging → EV; no home charging → petrol; 45–70 km/day with charging → iQube 3.1 / Rizta; &gt;70 km/day or frequent highway → petrol.</t>
        </is>
      </c>
      <c r="B29" s="15" t="n"/>
      <c r="C29" s="15" t="n"/>
      <c r="D29" s="15" t="n"/>
      <c r="E29" s="15" t="n"/>
      <c r="F29" s="15" t="n"/>
    </row>
  </sheetData>
  <mergeCells count="14">
    <mergeCell ref="C13:F13"/>
    <mergeCell ref="C9:F9"/>
    <mergeCell ref="C5:F5"/>
    <mergeCell ref="C3:F3"/>
    <mergeCell ref="A28:F28"/>
    <mergeCell ref="C4:F4"/>
    <mergeCell ref="C12:F12"/>
    <mergeCell ref="A27:F27"/>
    <mergeCell ref="C6:F6"/>
    <mergeCell ref="A26:F26"/>
    <mergeCell ref="C11:F11"/>
    <mergeCell ref="C10:F10"/>
    <mergeCell ref="C2:F2"/>
    <mergeCell ref="A29:F29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cols>
    <col width="34" customWidth="1" min="1" max="1"/>
    <col width="110" customWidth="1" min="2" max="2"/>
  </cols>
  <sheetData>
    <row r="1" ht="45" customHeight="1">
      <c r="A1" s="1" t="inlineStr">
        <is>
          <t>Topic</t>
        </is>
      </c>
      <c r="B1" s="1" t="inlineStr">
        <is>
          <t>Source (accessed 5 Oct 2026)</t>
        </is>
      </c>
    </row>
    <row r="2">
      <c r="A2" s="20" t="inlineStr">
        <is>
          <t>PM E-DRIVE subsidy end</t>
        </is>
      </c>
      <c r="B2" s="42" t="inlineStr">
        <is>
          <t>https://www.evfy.in/news/pm-e-drive-subsidy-ends-what-it-means-for-ev-buyers-from-august-2026</t>
        </is>
      </c>
    </row>
    <row r="3">
      <c r="A3" s="20" t="inlineStr">
        <is>
          <t>PM E-DRIVE extension to 31 Jul 2026</t>
        </is>
      </c>
      <c r="B3" s="42" t="inlineStr">
        <is>
          <t>https://www.autocarindia.com/bike-news/pm-e-drive-subsidy-extended-until-july-31-for-electric-two-wheelers-439316</t>
        </is>
      </c>
    </row>
    <row r="4">
      <c r="A4" s="20" t="inlineStr">
        <is>
          <t>TN EV road-tax exemption</t>
        </is>
      </c>
      <c r="B4" s="42" t="inlineStr">
        <is>
          <t>https://thefederal.com/category/states/south/tamil-nadu/tamil-nadu-ev-road-tax-exemption-till-dec-31-2027-223729</t>
        </is>
      </c>
    </row>
    <row r="5">
      <c r="A5" s="20" t="inlineStr">
        <is>
          <t>TN electricity tariff 2026</t>
        </is>
      </c>
      <c r="B5" s="42" t="inlineStr">
        <is>
          <t>https://thediscombill.com/guides/tamil-nadu-electricity-tariff-july-2026/</t>
        </is>
      </c>
    </row>
    <row r="6">
      <c r="A6" s="20" t="inlineStr">
        <is>
          <t>Thoothukudi petrol price</t>
        </is>
      </c>
      <c r="B6" s="42" t="inlineStr">
        <is>
          <t>https://www.shriramfinance.in/petrol-price-in-thoothukudi</t>
        </is>
      </c>
    </row>
    <row r="7">
      <c r="A7" s="20" t="inlineStr">
        <is>
          <t>Battery replacement costs</t>
        </is>
      </c>
      <c r="B7" s="42" t="inlineStr">
        <is>
          <t>https://www.evfy.in/news/battery-replacement-costs-of-ev-two-wheelers-in-india</t>
        </is>
      </c>
    </row>
    <row r="8">
      <c r="A8" s="20" t="inlineStr">
        <is>
          <t>TVS iQube specs</t>
        </is>
      </c>
      <c r="B8" s="42" t="inlineStr">
        <is>
          <t>https://www.autocarindia.com/bikes/tvs/iqube/specifications</t>
        </is>
      </c>
    </row>
    <row r="9">
      <c r="A9" s="20" t="inlineStr">
        <is>
          <t>TVS iQube 2.2 real-world range</t>
        </is>
      </c>
      <c r="B9" s="42" t="inlineStr">
        <is>
          <t>https://tvsmotor.com/electric-vehicle/tvs-iqube/tvs-iqube-2-2-kwh-variant-details</t>
        </is>
      </c>
    </row>
    <row r="10">
      <c r="A10" s="20" t="inlineStr">
        <is>
          <t>TVS warranty policy</t>
        </is>
      </c>
      <c r="B10" s="42" t="inlineStr">
        <is>
          <t>https://www.tvsmotor.com/customers/Warranty-Policy</t>
        </is>
      </c>
    </row>
    <row r="11">
      <c r="A11" s="20" t="inlineStr">
        <is>
          <t>Bajaj Chetak C25 specs</t>
        </is>
      </c>
      <c r="B11" s="42" t="inlineStr">
        <is>
          <t>https://www.91wheels.com/scooters/bajaj/chetak-c25</t>
        </is>
      </c>
    </row>
    <row r="12">
      <c r="A12" s="20" t="inlineStr">
        <is>
          <t>Chetak C25 first ride</t>
        </is>
      </c>
      <c r="B12" s="42" t="inlineStr">
        <is>
          <t>https://www.rushlane.com/bajaj-chetak-c25-first-ride-review-your-next-ev-under-rs-1-lakh-12538166.html</t>
        </is>
      </c>
    </row>
    <row r="13">
      <c r="A13" s="20" t="inlineStr">
        <is>
          <t>Chetak battery warranty</t>
        </is>
      </c>
      <c r="B13" s="42" t="inlineStr">
        <is>
          <t>https://www.chetak.com/blogs/bajaj-chetak-battery-warranty-whats-covered-and-whats-not</t>
        </is>
      </c>
    </row>
    <row r="14">
      <c r="A14" s="20" t="inlineStr">
        <is>
          <t>TVS Orbiter specs</t>
        </is>
      </c>
      <c r="B14" s="42" t="inlineStr">
        <is>
          <t>https://www.autocarindia.com/bikes/tvs/orbiter/specifications</t>
        </is>
      </c>
    </row>
    <row r="15">
      <c r="A15" s="20" t="inlineStr">
        <is>
          <t>Ather Rizta S 2.9</t>
        </is>
      </c>
      <c r="B15" s="42" t="inlineStr">
        <is>
          <t>https://www.autocarindia.com/bikes/ather/rizta/s-29-kwh</t>
        </is>
      </c>
    </row>
    <row r="16">
      <c r="A16" s="20" t="inlineStr">
        <is>
          <t>Ather 2026 guide/prices</t>
        </is>
      </c>
      <c r="B16" s="42" t="inlineStr">
        <is>
          <t>https://www.meraev.com/blog/ather-electric-scooter-guide-2026</t>
        </is>
      </c>
    </row>
    <row r="17">
      <c r="A17" s="20" t="inlineStr">
        <is>
          <t>Vida VX2 Go 2.2</t>
        </is>
      </c>
      <c r="B17" s="42" t="inlineStr">
        <is>
          <t>https://www.smartprix.com/scooters/vida-vx2-go-ppd1z049xwko</t>
        </is>
      </c>
    </row>
    <row r="18">
      <c r="A18" s="20" t="inlineStr">
        <is>
          <t>Vida VX2 Thoothukudi price</t>
        </is>
      </c>
      <c r="B18" s="42" t="inlineStr">
        <is>
          <t>https://www.bikes24.com/vida/vx2/price-in-thoothukudi/</t>
        </is>
      </c>
    </row>
    <row r="19">
      <c r="A19" s="20" t="inlineStr">
        <is>
          <t>Honda QC1 Thoothukudi</t>
        </is>
      </c>
      <c r="B19" s="42" t="inlineStr">
        <is>
          <t>https://www.autocarindia.com/bikes/honda-bikes/qc1/price-in-thoothukudi</t>
        </is>
      </c>
    </row>
    <row r="20">
      <c r="A20" s="20" t="inlineStr">
        <is>
          <t>Honda Activa 110 official</t>
        </is>
      </c>
      <c r="B20" s="42" t="inlineStr">
        <is>
          <t>https://honda2wheelersindia.com/scooter/activa110</t>
        </is>
      </c>
    </row>
    <row r="21">
      <c r="A21" s="20" t="inlineStr">
        <is>
          <t>Honda Activa 110 specs</t>
        </is>
      </c>
      <c r="B21" s="42" t="inlineStr">
        <is>
          <t>https://www.autocarindia.com/bikes/honda-bikes/activa-6g/specifications</t>
        </is>
      </c>
    </row>
    <row r="22">
      <c r="A22" s="20" t="inlineStr">
        <is>
          <t>TVS Jupiter 110 specs</t>
        </is>
      </c>
      <c r="B22" s="42" t="inlineStr">
        <is>
          <t>https://www.tvsmotor.com/media/blog/tvs-jupiter-110-specifications-a-comprehensive-overview</t>
        </is>
      </c>
    </row>
    <row r="23">
      <c r="A23" s="20" t="inlineStr">
        <is>
          <t>TVS Jupiter Feb 2026 prices</t>
        </is>
      </c>
      <c r="B23" s="42" t="inlineStr">
        <is>
          <t>https://www.rushlane.com/tvs-jupiter-price-hike-feb-2026-up-to-rs-3250-new-price-list-12539507.html</t>
        </is>
      </c>
    </row>
    <row r="24">
      <c r="A24" s="20" t="inlineStr">
        <is>
          <t>Hero Pleasure+ Thoothukudi</t>
        </is>
      </c>
      <c r="B24" s="42" t="inlineStr">
        <is>
          <t>https://www.bikes24.com/hero/pleasure-plus/price-in-thoothukudi/</t>
        </is>
      </c>
    </row>
    <row r="25">
      <c r="A25" s="20" t="inlineStr">
        <is>
          <t>Hero Pleasure+ XTEC features</t>
        </is>
      </c>
      <c r="B25" s="42" t="inlineStr">
        <is>
          <t>https://www.heromotocorp.com/en-in/blogs/a-closer-look-at-the-pleasure-plus-xtec-s-specs-features-and-more.html</t>
        </is>
      </c>
    </row>
    <row r="26">
      <c r="A26" s="20" t="inlineStr">
        <is>
          <t>Suzuki Access 125</t>
        </is>
      </c>
      <c r="B26" s="42" t="inlineStr">
        <is>
          <t>https://www.zigwheels.com/suzuki-scooters/access-125</t>
        </is>
      </c>
    </row>
    <row r="27">
      <c r="A27" s="20" t="inlineStr">
        <is>
          <t>Yamaha Fascino Thoothukudi</t>
        </is>
      </c>
      <c r="B27" s="42" t="inlineStr">
        <is>
          <t>https://www.zigwheels.com/yamaha-bikes/fascino/on-road-price-thoothukudi/</t>
        </is>
      </c>
    </row>
    <row r="28">
      <c r="A28" s="20" t="inlineStr">
        <is>
          <t>Old Hero Pleasure specs</t>
        </is>
      </c>
      <c r="B28" s="42" t="inlineStr">
        <is>
          <t>https://Bikewale.com/hero-bikes/pleasure-2005-2015/</t>
        </is>
      </c>
    </row>
    <row r="29">
      <c r="A29" s="20" t="inlineStr">
        <is>
          <t>Dealers – TVS</t>
        </is>
      </c>
      <c r="B29" s="42" t="inlineStr">
        <is>
          <t>https://bikewale.com/dealer-showrooms/tvs/thoothukudi</t>
        </is>
      </c>
    </row>
    <row r="30">
      <c r="A30" s="20" t="inlineStr">
        <is>
          <t>Dealers – Honda</t>
        </is>
      </c>
      <c r="B30" s="42" t="inlineStr">
        <is>
          <t>https://www.bikewale.com/dealer-showrooms/honda/tuticorin/</t>
        </is>
      </c>
    </row>
    <row r="31">
      <c r="A31" s="20" t="inlineStr">
        <is>
          <t>Dealers – Ather</t>
        </is>
      </c>
      <c r="B31" s="42" t="inlineStr">
        <is>
          <t>https://bikewale.com/dealer-showrooms/ather/tuticorin</t>
        </is>
      </c>
    </row>
    <row r="32">
      <c r="A32" s="20" t="inlineStr">
        <is>
          <t>Dealers – Bajaj</t>
        </is>
      </c>
      <c r="B32" s="42" t="inlineStr">
        <is>
          <t>https://www.bikewale.com/dealer-showrooms/bajaj/tuticorin/</t>
        </is>
      </c>
    </row>
    <row r="33">
      <c r="A33" s="20" t="inlineStr">
        <is>
          <t>Dealers – Hero</t>
        </is>
      </c>
      <c r="B33" s="42" t="inlineStr">
        <is>
          <t>https://bikewale.com/dealer-showrooms/hero/thoothukudi</t>
        </is>
      </c>
    </row>
    <row r="34">
      <c r="A34" s="20" t="inlineStr">
        <is>
          <t>Dealers – Suzuki</t>
        </is>
      </c>
      <c r="B34" s="42" t="inlineStr">
        <is>
          <t>https://www.bikewale.com/dealer-showrooms/suzuki/tuticorin/</t>
        </is>
      </c>
    </row>
    <row r="35">
      <c r="A35" s="20" t="inlineStr">
        <is>
          <t>Dealers – Yamaha</t>
        </is>
      </c>
      <c r="B35" s="42" t="inlineStr">
        <is>
          <t>https://www.bikes4sale.in/new-bike-showrooms/dealer/yamaha/tamil-nadu/thoothukudi/6561/lakhmi-motors</t>
        </is>
      </c>
    </row>
    <row r="36">
      <c r="A36" s="20" t="inlineStr">
        <is>
          <t>Owner complaints – Chetak</t>
        </is>
      </c>
      <c r="B36" s="42" t="inlineStr">
        <is>
          <t>https://www.multibagg.ai/market-pulse/articles/bajaj-chetak-ev-service-issues-cmr6opznua28dqs0j8cefvzi7</t>
        </is>
      </c>
    </row>
    <row r="37">
      <c r="A37" s="20" t="inlineStr">
        <is>
          <t>Owner complaints – iQube</t>
        </is>
      </c>
      <c r="B37" s="42" t="inlineStr">
        <is>
          <t>https://www.multibagg.ai/market-pulse/articles/tvs-iqube-complaints-ev-impact-cmr7a5zp3pmrvqs0jabjoamwr</t>
        </is>
      </c>
    </row>
  </sheetData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  <hyperlink xmlns:r="http://schemas.openxmlformats.org/officeDocument/2006/relationships" ref="B6" r:id="rId5"/>
    <hyperlink xmlns:r="http://schemas.openxmlformats.org/officeDocument/2006/relationships" ref="B7" r:id="rId6"/>
    <hyperlink xmlns:r="http://schemas.openxmlformats.org/officeDocument/2006/relationships" ref="B8" r:id="rId7"/>
    <hyperlink xmlns:r="http://schemas.openxmlformats.org/officeDocument/2006/relationships" ref="B9" r:id="rId8"/>
    <hyperlink xmlns:r="http://schemas.openxmlformats.org/officeDocument/2006/relationships" ref="B10" r:id="rId9"/>
    <hyperlink xmlns:r="http://schemas.openxmlformats.org/officeDocument/2006/relationships" ref="B11" r:id="rId10"/>
    <hyperlink xmlns:r="http://schemas.openxmlformats.org/officeDocument/2006/relationships" ref="B12" r:id="rId11"/>
    <hyperlink xmlns:r="http://schemas.openxmlformats.org/officeDocument/2006/relationships" ref="B13" r:id="rId12"/>
    <hyperlink xmlns:r="http://schemas.openxmlformats.org/officeDocument/2006/relationships" ref="B14" r:id="rId13"/>
    <hyperlink xmlns:r="http://schemas.openxmlformats.org/officeDocument/2006/relationships" ref="B15" r:id="rId14"/>
    <hyperlink xmlns:r="http://schemas.openxmlformats.org/officeDocument/2006/relationships" ref="B16" r:id="rId15"/>
    <hyperlink xmlns:r="http://schemas.openxmlformats.org/officeDocument/2006/relationships" ref="B17" r:id="rId16"/>
    <hyperlink xmlns:r="http://schemas.openxmlformats.org/officeDocument/2006/relationships" ref="B18" r:id="rId17"/>
    <hyperlink xmlns:r="http://schemas.openxmlformats.org/officeDocument/2006/relationships" ref="B19" r:id="rId18"/>
    <hyperlink xmlns:r="http://schemas.openxmlformats.org/officeDocument/2006/relationships" ref="B20" r:id="rId19"/>
    <hyperlink xmlns:r="http://schemas.openxmlformats.org/officeDocument/2006/relationships" ref="B21" r:id="rId20"/>
    <hyperlink xmlns:r="http://schemas.openxmlformats.org/officeDocument/2006/relationships" ref="B22" r:id="rId21"/>
    <hyperlink xmlns:r="http://schemas.openxmlformats.org/officeDocument/2006/relationships" ref="B23" r:id="rId22"/>
    <hyperlink xmlns:r="http://schemas.openxmlformats.org/officeDocument/2006/relationships" ref="B24" r:id="rId23"/>
    <hyperlink xmlns:r="http://schemas.openxmlformats.org/officeDocument/2006/relationships" ref="B25" r:id="rId24"/>
    <hyperlink xmlns:r="http://schemas.openxmlformats.org/officeDocument/2006/relationships" ref="B26" r:id="rId25"/>
    <hyperlink xmlns:r="http://schemas.openxmlformats.org/officeDocument/2006/relationships" ref="B27" r:id="rId26"/>
    <hyperlink xmlns:r="http://schemas.openxmlformats.org/officeDocument/2006/relationships" ref="B28" r:id="rId27"/>
    <hyperlink xmlns:r="http://schemas.openxmlformats.org/officeDocument/2006/relationships" ref="B29" r:id="rId28"/>
    <hyperlink xmlns:r="http://schemas.openxmlformats.org/officeDocument/2006/relationships" ref="B30" r:id="rId29"/>
    <hyperlink xmlns:r="http://schemas.openxmlformats.org/officeDocument/2006/relationships" ref="B31" r:id="rId30"/>
    <hyperlink xmlns:r="http://schemas.openxmlformats.org/officeDocument/2006/relationships" ref="B32" r:id="rId31"/>
    <hyperlink xmlns:r="http://schemas.openxmlformats.org/officeDocument/2006/relationships" ref="B33" r:id="rId32"/>
    <hyperlink xmlns:r="http://schemas.openxmlformats.org/officeDocument/2006/relationships" ref="B34" r:id="rId33"/>
    <hyperlink xmlns:r="http://schemas.openxmlformats.org/officeDocument/2006/relationships" ref="B35" r:id="rId34"/>
    <hyperlink xmlns:r="http://schemas.openxmlformats.org/officeDocument/2006/relationships" ref="B36" r:id="rId35"/>
    <hyperlink xmlns:r="http://schemas.openxmlformats.org/officeDocument/2006/relationships" ref="B37" r:id="rId3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2026-10-05T03:32:01Z</dcterms:created>
  <dcterms:modified xsi:type="dcterms:W3CDTF">2026-10-05T03:32:01Z</dcterms:modified>
</cp:coreProperties>
</file>