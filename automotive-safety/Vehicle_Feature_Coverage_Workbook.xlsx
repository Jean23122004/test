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ecklist" sheetId="2" state="visible" r:id="rId4"/>
    <sheet name="Coverage Matrix" sheetId="3" state="visible" r:id="rId5"/>
    <sheet name="Evidence" sheetId="4" state="visible" r:id="rId6"/>
    <sheet name="Band Summary" sheetId="5" state="visible" r:id="rId7"/>
    <sheet name="Source Register" sheetId="6" state="visible" r:id="rId8"/>
  </sheets>
  <definedNames>
    <definedName function="false" hidden="true" localSheetId="2" name="_xlnm._FilterDatabase" vbProcedure="false">'Coverage Matrix'!$A$1:$AM$10</definedName>
    <definedName function="false" hidden="true" localSheetId="3" name="_xlnm._FilterDatabase" vbProcedure="false">Evidence!$A$1:$M$217</definedName>
    <definedName function="false" hidden="true" localSheetId="5" name="_xlnm._FilterDatabase" vbProcedure="false">'Source Register'!$A$1:$F$53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<sst xmlns="http://schemas.openxmlformats.org/spreadsheetml/2006/main" count="3417" uniqueCount="634">
  <si>
    <t xml:space="preserve">Vehicle Feature Coverage Workbook</t>
  </si>
  <si>
    <t xml:space="preserve">Research date</t>
  </si>
  <si>
    <t xml:space="preserve">13 October 2026</t>
  </si>
  <si>
    <t xml:space="preserve">Purpose</t>
  </si>
  <si>
    <t xml:space="preserve">Compares exact vehicle variants in India, the UK and the USA against a fixed checklist of 24 safety features taken from the Automotive Safety Systems training deck.</t>
  </si>
  <si>
    <t xml:space="preserve">Coverage formula</t>
  </si>
  <si>
    <t xml:space="preserve">Verified coverage (%) = (features with status Y or R) ÷ 24 × 100. The same 24-feature denominator is used for every vehicle.</t>
  </si>
  <si>
    <t xml:space="preserve">Indicative coverage</t>
  </si>
  <si>
    <t xml:space="preserve">Adds features with status M (official model-level evidence whose fit on the exact variant is not confirmed). Shown for context only; bands use verified coverage.</t>
  </si>
  <si>
    <t xml:space="preserve">Bands</t>
  </si>
  <si>
    <t xml:space="preserve">100% = all 24 verified · 75% band = 75–99% · 50% band = 50–74% · 25% band = 25–49% · Below 25% = under 25%. Percentages are never rounded up into a higher band.</t>
  </si>
  <si>
    <t xml:space="preserve">Status Y</t>
  </si>
  <si>
    <t xml:space="preserve">Present – verified for exact variant</t>
  </si>
  <si>
    <t xml:space="preserve">Status R</t>
  </si>
  <si>
    <t xml:space="preserve">Present – required by law in this market</t>
  </si>
  <si>
    <t xml:space="preserve">Status M</t>
  </si>
  <si>
    <t xml:space="preserve">Model-level evidence only – exact variant not confirmed</t>
  </si>
  <si>
    <t xml:space="preserve">Status N</t>
  </si>
  <si>
    <t xml:space="preserve">Absent – verified not offered on this variant</t>
  </si>
  <si>
    <t xml:space="preserve">Status U</t>
  </si>
  <si>
    <t xml:space="preserve">Unconfirmed – no reliable evidence found</t>
  </si>
  <si>
    <t xml:space="preserve">How evidence was gathered</t>
  </si>
  <si>
    <t xml:space="preserve">Official manufacturer pages, brochures, press releases, specification sheets, owner's manuals and regulators were located with web search restricted to each manufacturer's or regulator's own domain, and claims were taken from those search extracts. Direct page fetching was unavailable in the research environment, so some brochure tables could not be read in full. Unconfirmed (U) therefore often means 'not shown in the official extracts', not 'absent'.</t>
  </si>
  <si>
    <t xml:space="preserve">Limitations</t>
  </si>
  <si>
    <t xml:space="preserve">A sample of nine variants, not a census of the market. Post-crash functions (crash unlock/hazards, fuel or high-voltage cut-off, EDR) are rarely stated in official specification documents, so they are mostly unconfirmed. Equipment changes with model year; re-check before reuse.</t>
  </si>
  <si>
    <t xml:space="preserve">How to update</t>
  </si>
  <si>
    <t xml:space="preserve">Change a status letter in the 'Coverage Matrix' sheet (use the drop-down: Y, R, M, N, U). Counts, percentages and bands recalculate automatically. Record the evidence in 'Evidence' and the source in 'Source Register'.</t>
  </si>
  <si>
    <t xml:space="preserve">Sheets</t>
  </si>
  <si>
    <t xml:space="preserve">Checklist · Coverage Matrix · Evidence (one row per vehicle × feature, filterable) · Band Summary · Source Register</t>
  </si>
  <si>
    <t xml:space="preserve">Code</t>
  </si>
  <si>
    <t xml:space="preserve">Layer</t>
  </si>
  <si>
    <t xml:space="preserve">Feature</t>
  </si>
  <si>
    <t xml:space="preserve">Simple meaning</t>
  </si>
  <si>
    <t xml:space="preserve">A1</t>
  </si>
  <si>
    <t xml:space="preserve">Active safety</t>
  </si>
  <si>
    <t xml:space="preserve">ABS (anti-lock brakes)</t>
  </si>
  <si>
    <t xml:space="preserve">Stops wheels locking so you can still steer</t>
  </si>
  <si>
    <t xml:space="preserve">A2</t>
  </si>
  <si>
    <t xml:space="preserve">EBD (brake-force distribution)</t>
  </si>
  <si>
    <t xml:space="preserve">Shares braking force to suit the load</t>
  </si>
  <si>
    <t xml:space="preserve">A3</t>
  </si>
  <si>
    <t xml:space="preserve">Brake Assist</t>
  </si>
  <si>
    <t xml:space="preserve">Adds braking force in a panic stop</t>
  </si>
  <si>
    <t xml:space="preserve">A4</t>
  </si>
  <si>
    <t xml:space="preserve">ESC (stability control)</t>
  </si>
  <si>
    <t xml:space="preserve">Brakes individual wheels to stop a skid</t>
  </si>
  <si>
    <t xml:space="preserve">A5</t>
  </si>
  <si>
    <t xml:space="preserve">Traction control</t>
  </si>
  <si>
    <t xml:space="preserve">Stops wheelspin when pulling away</t>
  </si>
  <si>
    <t xml:space="preserve">A6</t>
  </si>
  <si>
    <t xml:space="preserve">TPMS (tyre-pressure monitoring)</t>
  </si>
  <si>
    <t xml:space="preserve">Warns of an under-inflated tyre</t>
  </si>
  <si>
    <t xml:space="preserve">A7</t>
  </si>
  <si>
    <t xml:space="preserve">Hill Start Assist</t>
  </si>
  <si>
    <t xml:space="preserve">Stops roll-back when starting on a slope</t>
  </si>
  <si>
    <t xml:space="preserve">A8</t>
  </si>
  <si>
    <t xml:space="preserve">Hill Descent Control</t>
  </si>
  <si>
    <t xml:space="preserve">Holds a slow speed down steep slopes</t>
  </si>
  <si>
    <t xml:space="preserve">A9</t>
  </si>
  <si>
    <t xml:space="preserve">Electric parking brake with Auto Hold</t>
  </si>
  <si>
    <t xml:space="preserve">Holds the car at stops without the pedal</t>
  </si>
  <si>
    <t xml:space="preserve">D1</t>
  </si>
  <si>
    <t xml:space="preserve">ADAS</t>
  </si>
  <si>
    <t xml:space="preserve">Forward Collision Warning</t>
  </si>
  <si>
    <t xml:space="preserve">Warns when closing in too fast</t>
  </si>
  <si>
    <t xml:space="preserve">D2</t>
  </si>
  <si>
    <t xml:space="preserve">Automatic Emergency Braking</t>
  </si>
  <si>
    <t xml:space="preserve">Brakes by itself if a crash is imminent</t>
  </si>
  <si>
    <t xml:space="preserve">D3</t>
  </si>
  <si>
    <t xml:space="preserve">Adaptive Cruise Control</t>
  </si>
  <si>
    <t xml:space="preserve">Keeps a set speed and gap</t>
  </si>
  <si>
    <t xml:space="preserve">D4</t>
  </si>
  <si>
    <t xml:space="preserve">Lane Departure Warning</t>
  </si>
  <si>
    <t xml:space="preserve">Alerts if you drift over the lines</t>
  </si>
  <si>
    <t xml:space="preserve">D5</t>
  </si>
  <si>
    <t xml:space="preserve">Lane Keeping Assist</t>
  </si>
  <si>
    <t xml:space="preserve">Steers you gently back into the lane</t>
  </si>
  <si>
    <t xml:space="preserve">D6</t>
  </si>
  <si>
    <t xml:space="preserve">Blind Spot Monitoring</t>
  </si>
  <si>
    <t xml:space="preserve">Warns of a vehicle in your blind spot</t>
  </si>
  <si>
    <t xml:space="preserve">D7</t>
  </si>
  <si>
    <t xml:space="preserve">Rear Cross Traffic Alert</t>
  </si>
  <si>
    <t xml:space="preserve">Warns of traffic crossing behind you</t>
  </si>
  <si>
    <t xml:space="preserve">P1</t>
  </si>
  <si>
    <t xml:space="preserve">Passive safety</t>
  </si>
  <si>
    <t xml:space="preserve">Front, side &amp; curtain airbags (6+)</t>
  </si>
  <si>
    <t xml:space="preserve">Cushion occupants in a crash</t>
  </si>
  <si>
    <t xml:space="preserve">P2</t>
  </si>
  <si>
    <t xml:space="preserve">Seatbelt pretensioners</t>
  </si>
  <si>
    <t xml:space="preserve">Remove belt slack as a crash begins</t>
  </si>
  <si>
    <t xml:space="preserve">P3</t>
  </si>
  <si>
    <t xml:space="preserve">Seatbelt load limiters</t>
  </si>
  <si>
    <t xml:space="preserve">Let the belt give slightly to protect the chest</t>
  </si>
  <si>
    <t xml:space="preserve">P4</t>
  </si>
  <si>
    <t xml:space="preserve">ISOFIX / LATCH child-seat anchors</t>
  </si>
  <si>
    <t xml:space="preserve">Standard anchors for child seats</t>
  </si>
  <si>
    <t xml:space="preserve">C1</t>
  </si>
  <si>
    <t xml:space="preserve">Post-crash</t>
  </si>
  <si>
    <t xml:space="preserve">Emergency call / SOS (eCall)</t>
  </si>
  <si>
    <t xml:space="preserve">Calls for help and sends location</t>
  </si>
  <si>
    <t xml:space="preserve">C2</t>
  </si>
  <si>
    <t xml:space="preserve">Crash-triggered hazard lights / door unlock</t>
  </si>
  <si>
    <t xml:space="preserve">Makes the car visible and accessible</t>
  </si>
  <si>
    <t xml:space="preserve">C3</t>
  </si>
  <si>
    <t xml:space="preserve">Fuel cut-off or high-voltage isolation</t>
  </si>
  <si>
    <t xml:space="preserve">Cuts fuel or EV high voltage after a crash</t>
  </si>
  <si>
    <t xml:space="preserve">C4</t>
  </si>
  <si>
    <t xml:space="preserve">Event Data Recorder (EDR)</t>
  </si>
  <si>
    <t xml:space="preserve">Stores a short snapshot around a crash</t>
  </si>
  <si>
    <t xml:space="preserve">Total features in checklist</t>
  </si>
  <si>
    <t xml:space="preserve">Excluded from scoring</t>
  </si>
  <si>
    <t xml:space="preserve">—</t>
  </si>
  <si>
    <t xml:space="preserve">Crumple zones and rigid safety cell</t>
  </si>
  <si>
    <t xml:space="preserve">Designed into every modern car body; not a fitted or optional item, so it cannot separate one variant from another.</t>
  </si>
  <si>
    <t xml:space="preserve">Three-point seatbelts and head restraints</t>
  </si>
  <si>
    <t xml:space="preserve">Legally required in all three markets reviewed; present on every car in the sample.</t>
  </si>
  <si>
    <t xml:space="preserve">Knee airbag</t>
  </si>
  <si>
    <t xml:space="preserve">Mentioned only in the presenter notes of the original deck; kept out so airbags are not counted twice.</t>
  </si>
  <si>
    <t xml:space="preserve">Pedestrian protection (active bonnet / pedestrian airbag)</t>
  </si>
  <si>
    <t xml:space="preserve">Rare and model-specific; pedestrian-friendly design is a type-approval matter rather than a fitted feature.</t>
  </si>
  <si>
    <t xml:space="preserve">Market</t>
  </si>
  <si>
    <t xml:space="preserve">Manufacturer</t>
  </si>
  <si>
    <t xml:space="preserve">Model</t>
  </si>
  <si>
    <t xml:space="preserve">Exact variant</t>
  </si>
  <si>
    <t xml:space="preserve">Model year / period</t>
  </si>
  <si>
    <t xml:space="preserve">Powertrain</t>
  </si>
  <si>
    <t xml:space="preserve">A1
ABS (anti-lock brakes)</t>
  </si>
  <si>
    <t xml:space="preserve">A2
EBD (brake-force distribution)</t>
  </si>
  <si>
    <t xml:space="preserve">A3
Brake Assist</t>
  </si>
  <si>
    <t xml:space="preserve">A4
ESC (stability control)</t>
  </si>
  <si>
    <t xml:space="preserve">A5
Traction control</t>
  </si>
  <si>
    <t xml:space="preserve">A6
TPMS (tyre-pressure monitoring)</t>
  </si>
  <si>
    <t xml:space="preserve">A7
Hill Start Assist</t>
  </si>
  <si>
    <t xml:space="preserve">A8
Hill Descent Control</t>
  </si>
  <si>
    <t xml:space="preserve">A9
Electric parking brake with Auto Hold</t>
  </si>
  <si>
    <t xml:space="preserve">D1
Forward Collision Warning</t>
  </si>
  <si>
    <t xml:space="preserve">D2
Automatic Emergency Braking</t>
  </si>
  <si>
    <t xml:space="preserve">D3
Adaptive Cruise Control</t>
  </si>
  <si>
    <t xml:space="preserve">D4
Lane Departure Warning</t>
  </si>
  <si>
    <t xml:space="preserve">D5
Lane Keeping Assist</t>
  </si>
  <si>
    <t xml:space="preserve">D6
Blind Spot Monitoring</t>
  </si>
  <si>
    <t xml:space="preserve">D7
Rear Cross Traffic Alert</t>
  </si>
  <si>
    <t xml:space="preserve">P1
Front, side &amp; curtain airbags (6+)</t>
  </si>
  <si>
    <t xml:space="preserve">P2
Seatbelt pretensioners</t>
  </si>
  <si>
    <t xml:space="preserve">P3
Seatbelt load limiters</t>
  </si>
  <si>
    <t xml:space="preserve">P4
ISOFIX / LATCH child-seat anchors</t>
  </si>
  <si>
    <t xml:space="preserve">C1
Emergency call / SOS (eCall)</t>
  </si>
  <si>
    <t xml:space="preserve">C2
Crash-triggered hazard lights / door unlock</t>
  </si>
  <si>
    <t xml:space="preserve">C3
Fuel cut-off or high-voltage isolation</t>
  </si>
  <si>
    <t xml:space="preserve">C4
Event Data Recorder (EDR)</t>
  </si>
  <si>
    <t xml:space="preserve">Present (Y+R)</t>
  </si>
  <si>
    <t xml:space="preserve">Model-level (M)</t>
  </si>
  <si>
    <t xml:space="preserve">Absent (N)</t>
  </si>
  <si>
    <t xml:space="preserve">Unconfirmed (U)</t>
  </si>
  <si>
    <t xml:space="preserve">Checklist total</t>
  </si>
  <si>
    <t xml:space="preserve">Verified coverage</t>
  </si>
  <si>
    <t xml:space="preserve">Indicative coverage (incl. M)</t>
  </si>
  <si>
    <t xml:space="preserve">Coverage band</t>
  </si>
  <si>
    <t xml:space="preserve">Official sources used</t>
  </si>
  <si>
    <t xml:space="preserve">India</t>
  </si>
  <si>
    <t xml:space="preserve">Hyundai</t>
  </si>
  <si>
    <t xml:space="preserve">Creta</t>
  </si>
  <si>
    <t xml:space="preserve">King (automatic: IVT/DCT)</t>
  </si>
  <si>
    <t xml:space="preserve">2026 (current India line-up, Oct 2026)</t>
  </si>
  <si>
    <t xml:space="preserve">Petrol/diesel (ICE)</t>
  </si>
  <si>
    <t xml:space="preserve">R</t>
  </si>
  <si>
    <t xml:space="preserve">U</t>
  </si>
  <si>
    <t xml:space="preserve">Y</t>
  </si>
  <si>
    <t xml:space="preserve">M</t>
  </si>
  <si>
    <t xml:space="preserve">https://www.hyundai.com/in/en/blog/hyundai-creta-advance-features-specs-guide | https://www.hyundai.com/content/dam/hyundai/in/en/data/brochure/creta.pdf | https://www.hyundai.com/content/dam/hyundai/in/en/data/brochure/creta-brochureknight.pdf | https://www.hyundai.com/in/en/find-a-car/creta/features | https://www.hyundai.com/in/en/find-a-car/creta/price | https://www.hyundai.com/in/en/find-a-car/creta/safety | https://www.hyundai.com/in/en/blog/hyundai-creta-car-variants-explained | https://www.autocarindia.com/car-news/new-cars-and-bikes-to-get-more-safety-tech-this-year-411018</t>
  </si>
  <si>
    <t xml:space="preserve">Mahindra</t>
  </si>
  <si>
    <t xml:space="preserve">XEV 9e</t>
  </si>
  <si>
    <t xml:space="preserve">Pack Three</t>
  </si>
  <si>
    <t xml:space="preserve">2025–26</t>
  </si>
  <si>
    <t xml:space="preserve">Battery electric</t>
  </si>
  <si>
    <t xml:space="preserve">https://www.autocarindia.com/car-news/new-cars-and-bikes-to-get-more-safety-tech-this-year-411018 | https://www.mahindraelectricsuv.com/on/demandware.static/-/Library-Sites-eSUVSharedLibrary/default/MXV9/XEV9e_BROCHURE_R1_20260428.pdf | https://www.mahindraelectricsuv.com/faq.html | https://booking.mahindra.com/on/demandware.static/-/Library-Sites-eSUVSharedLibrary/default/dw5ad7dd6c/OwnerManual/XEV_9e_HTML/XEV9e-OM.html | https://auto.mahindra.com/press-release/xev-nine-e-and-be-six-create-history.html | https://auto.mahindra.com/press-release/mahindra-democratises-premium-ev-technology-announces-top-variant-prices-of-be-6-and-xev-9e.html</t>
  </si>
  <si>
    <t xml:space="preserve">Škoda</t>
  </si>
  <si>
    <t xml:space="preserve">Kylaq</t>
  </si>
  <si>
    <t xml:space="preserve">Prestige+ (top variant)</t>
  </si>
  <si>
    <t xml:space="preserve">Petrol (ICE)</t>
  </si>
  <si>
    <t xml:space="preserve">https://www.skoda-auto.co.in/news/news-detail/skoda-kylaq-marks-one-year-landmark-by-celebrating-50k-sales-milestone | https://www.skoda-auto.co.in/_doc/54fc9665-9adc-4e0e-97ae-0a6b798d59c2 | https://www.skoda-storyboard.com/en/press-releases/the-all-new-skoda-kylaq-a-new-era-for-skoda-in-indias-popular-sub-4-metre-suv-segment/ | https://www.skoda-auto.co.in/shopping/kylaq-safety</t>
  </si>
  <si>
    <t xml:space="preserve">Maruti Suzuki</t>
  </si>
  <si>
    <t xml:space="preserve">Swift</t>
  </si>
  <si>
    <t xml:space="preserve">ZXi+</t>
  </si>
  <si>
    <t xml:space="preserve">2024– (4th generation)</t>
  </si>
  <si>
    <t xml:space="preserve">https://www.marutisuzuki.com/arena/swift | https://www.marutisuzuki.com/corporate/media/press-releases/2024/may/ms-launches-epic-new-swift-with-all-new-z-series-engine | https://marutisuzuki.com/cng/swift</t>
  </si>
  <si>
    <t xml:space="preserve">Alto K10</t>
  </si>
  <si>
    <t xml:space="preserve">Any variant (features stated standard on all variants)</t>
  </si>
  <si>
    <t xml:space="preserve">Petrol/CNG (ICE)</t>
  </si>
  <si>
    <t xml:space="preserve">https://www.marutisuzuki.com/arena/alto-k10 | https://www.marutisuzuki.com/corporate/media/press-releases/2025/may/maruti-suzuki-arena-enhances-safety-by-offering-6-airbags-as-standard | https://www.marutisuzuki.com/corporate/media/press-releases/2024/august/maruti-suzuki-offers-electronic-stability-program</t>
  </si>
  <si>
    <t xml:space="preserve">United Kingdom</t>
  </si>
  <si>
    <t xml:space="preserve">Volvo</t>
  </si>
  <si>
    <t xml:space="preserve">XC90</t>
  </si>
  <si>
    <t xml:space="preserve">T8 plug-in hybrid, Core grade</t>
  </si>
  <si>
    <t xml:space="preserve">MY2025 (updated XC90)</t>
  </si>
  <si>
    <t xml:space="preserve">Plug-in hybrid</t>
  </si>
  <si>
    <t xml:space="preserve">https://www.volvocars.com/uk/cars/xc90-hybrid/specifications/ | https://www.volvocars.com/uk/news/safety/new-and-improved-the-best-ever-volvo-xc90/ | https://www.volvocars.com/ie/support/car/xc90/article/ | https://www.volvocars.com/uk/cars/new-models/xc90/specifications</t>
  </si>
  <si>
    <t xml:space="preserve">United States</t>
  </si>
  <si>
    <t xml:space="preserve">IONIQ 5 N</t>
  </si>
  <si>
    <t xml:space="preserve">IONIQ 5 N (single trim)</t>
  </si>
  <si>
    <t xml:space="preserve">MY2026</t>
  </si>
  <si>
    <t xml:space="preserve">https://www.hyundainews.com/assets/documents/original/68164-2026IONIQ5NSpecsFeatures20250722A.pdf | https://www.hyundainews.com/assets/documents/original/59548-IONIQ5NSpecs040424.pdf | https://www.hyundainews.com/releases/3761?lang=en_US | https://owners.hyundaiusa.com/content/dam/hyundai/us/myhyundai/manuals/erg/2022/ioniq-5/Ioniq5-erg.pdf | https://www.hyundainews.com/releases/4513 | https://www.nhtsa.gov/document/electronic-stability-control-systems-fmvss-no-126 | https://www.nhtsa.gov/sites/nhtsa.gov/files/fmvss/tirepressure-fmvss-138.pdf</t>
  </si>
  <si>
    <t xml:space="preserve">Tesla</t>
  </si>
  <si>
    <t xml:space="preserve">Model Y</t>
  </si>
  <si>
    <t xml:space="preserve">Premium (Long Range)</t>
  </si>
  <si>
    <t xml:space="preserve">2025+ (MY2026, software 2026.32)</t>
  </si>
  <si>
    <t xml:space="preserve">https://www.nhtsa.gov/document/electronic-stability-control-systems-fmvss-no-126 | https://www.nhtsa.gov/sites/nhtsa.gov/files/fmvss/tirepressure-fmvss-138.pdf | https://digitalassets.tesla.com/tesla-contents/image/upload/2025-Model-Y-Emergency-Response-Guide.pdf | https://www.tesla.com/modely | https://www.tesla.com/ownersmanual/modely/en_us/Owners_Manual.pdf | https://www.tesla.com/ownersmanual/modely/en_us/GUID-2E8E5E0B-DAA8-40B8-9804-45F5960538DF.html | https://www.tesla.com/ownersmanual/modely/en_us/GUID-3319C55D-F148-4D9C-98A6-AD09BA7EED61.html | https://www.tesla.com/ownersmanual/modely/en_us/GUID-101D1BF5-52D2-469A-A57D-E7230BBEE94B.html | https://www.tesla.com/support/vehicle-safety-security-features</t>
  </si>
  <si>
    <t xml:space="preserve">Dacia</t>
  </si>
  <si>
    <t xml:space="preserve">Sandero</t>
  </si>
  <si>
    <t xml:space="preserve">Essential (entry trim)</t>
  </si>
  <si>
    <t xml:space="preserve">2025–26 (GSR2-compliant)</t>
  </si>
  <si>
    <t xml:space="preserve">N</t>
  </si>
  <si>
    <t xml:space="preserve">https://www.dacia.co.uk/vehicles/sandero/configurator.html | https://www.press.dacia.co.uk/releases/440 | https://www.press.dacia.co.uk/assets/documents/original/3930-DaciaSanderoandSanderoStepwayPressKitApril2022.pdf | https://www.press.dacia.co.uk/assets/documents/original/4592-DaciaSanderoandSanderoStepwayPressKitMay2023.pdf | https://www.dacia.co.uk/vehicles/sandero.html</t>
  </si>
  <si>
    <t xml:space="preserve">Legend</t>
  </si>
  <si>
    <t xml:space="preserve">Verified coverage = Present (Y+R) ÷ Checklist total. Indicative coverage adds Model-level (M). Source: research performed 13 October 2026; evidence per cell in the 'Evidence' sheet.</t>
  </si>
  <si>
    <t xml:space="preserve">Model year</t>
  </si>
  <si>
    <t xml:space="preserve">Feature code</t>
  </si>
  <si>
    <t xml:space="preserve">Status</t>
  </si>
  <si>
    <t xml:space="preserve">Status meaning</t>
  </si>
  <si>
    <t xml:space="preserve">Evidence note</t>
  </si>
  <si>
    <t xml:space="preserve">Source IDs</t>
  </si>
  <si>
    <t xml:space="preserve">Source URLs</t>
  </si>
  <si>
    <t xml:space="preserve">Legal requirement in India since April 2019; ABS also named in Hyundai's lineup summaries.</t>
  </si>
  <si>
    <t xml:space="preserve">LAW-IN-ABS, HY-IN-VAR</t>
  </si>
  <si>
    <t xml:space="preserve">https://www.autocarindia.com/car-news/new-cars-and-bikes-to-get-more-safety-tech-this-year-411018 | https://www.hyundai.com/in/en/blog/hyundai-creta-car-variants-explained</t>
  </si>
  <si>
    <t xml:space="preserve">Not found tied to King.</t>
  </si>
  <si>
    <t xml:space="preserve">Not found.</t>
  </si>
  <si>
    <t xml:space="preserve">Hyundai variant guide: King carries ESC.</t>
  </si>
  <si>
    <t xml:space="preserve">HY-IN-VAR</t>
  </si>
  <si>
    <t xml:space="preserve">https://www.hyundai.com/in/en/blog/hyundai-creta-car-variants-explained</t>
  </si>
  <si>
    <t xml:space="preserve">Only drive/traction modes mentioned; traction control not confirmed.</t>
  </si>
  <si>
    <t xml:space="preserve">TPMS (Highline) listed across all trims; King carries TPMS.</t>
  </si>
  <si>
    <t xml:space="preserve">HY-IN-BROCH, HY-IN-VAR</t>
  </si>
  <si>
    <t xml:space="preserve">https://www.hyundai.com/content/dam/hyundai/in/en/data/brochure/creta.pdf | https://www.hyundai.com/in/en/blog/hyundai-creta-car-variants-explained</t>
  </si>
  <si>
    <t xml:space="preserve">Hill-start Assist Control listed as lineup-wide safety equipment.</t>
  </si>
  <si>
    <t xml:space="preserve">HY-IN-PRICE, HY-IN-SAFETY</t>
  </si>
  <si>
    <t xml:space="preserve">https://www.hyundai.com/in/en/find-a-car/creta/price | https://www.hyundai.com/in/en/find-a-car/creta/safety</t>
  </si>
  <si>
    <t xml:space="preserve">Hill Descent Control confirmed only for Creta Electric, not this model.</t>
  </si>
  <si>
    <t xml:space="preserve">Feature table marks EPB with Auto Hold standard on King and King Knight.</t>
  </si>
  <si>
    <t xml:space="preserve">HY-IN-BROCH-K, HY-IN-FEAT</t>
  </si>
  <si>
    <t xml:space="preserve">https://www.hyundai.com/content/dam/hyundai/in/en/data/brochure/creta-brochureknight.pdf | https://www.hyundai.com/in/en/find-a-car/creta/features</t>
  </si>
  <si>
    <t xml:space="preserve">King offers Forward Collision-Avoidance Assist (warns, then brakes).</t>
  </si>
  <si>
    <t xml:space="preserve">HY-IN-ADV, HY-IN-SAFETY</t>
  </si>
  <si>
    <t xml:space="preserve">https://www.hyundai.com/in/en/blog/hyundai-creta-advance-features-specs-guide | https://www.hyundai.com/in/en/find-a-car/creta/safety</t>
  </si>
  <si>
    <t xml:space="preserve">Forward Collision-Avoidance Assist applies brakes automatically.</t>
  </si>
  <si>
    <t xml:space="preserve">Brochure: Smart Cruise Control on King with AT/DCT/IVT (manual King excluded).</t>
  </si>
  <si>
    <t xml:space="preserve">HY-IN-BROCH-K, HY-IN-ADV</t>
  </si>
  <si>
    <t xml:space="preserve">https://www.hyundai.com/content/dam/hyundai/in/en/data/brochure/creta-brochureknight.pdf | https://www.hyundai.com/in/en/blog/hyundai-creta-advance-features-specs-guide</t>
  </si>
  <si>
    <t xml:space="preserve">Not listed separately for King.</t>
  </si>
  <si>
    <t xml:space="preserve">King offers Lane Keeping Assist.</t>
  </si>
  <si>
    <t xml:space="preserve">HY-IN-ADV</t>
  </si>
  <si>
    <t xml:space="preserve">https://www.hyundai.com/in/en/blog/hyundai-creta-advance-features-specs-guide</t>
  </si>
  <si>
    <t xml:space="preserve">Blind-Spot Collision Avoidance Assist listed in SmartSense suite; trim not stated.</t>
  </si>
  <si>
    <t xml:space="preserve">HY-IN-SAFETY</t>
  </si>
  <si>
    <t xml:space="preserve">https://www.hyundai.com/in/en/find-a-car/creta/safety</t>
  </si>
  <si>
    <t xml:space="preserve">Rear Cross-Traffic Collision Avoidance Assist listed for higher trims; King not named.</t>
  </si>
  <si>
    <t xml:space="preserve">HY-IN-SAFETY, HY-IN-PRICE</t>
  </si>
  <si>
    <t xml:space="preserve">https://www.hyundai.com/in/en/find-a-car/creta/safety | https://www.hyundai.com/in/en/find-a-car/creta/price</t>
  </si>
  <si>
    <t xml:space="preserve">Six airbags standard across the line-up.</t>
  </si>
  <si>
    <t xml:space="preserve">HY-IN-SAFETY, HY-IN-VAR</t>
  </si>
  <si>
    <t xml:space="preserve">https://www.hyundai.com/in/en/find-a-car/creta/safety | https://www.hyundai.com/in/en/blog/hyundai-creta-car-variants-explained</t>
  </si>
  <si>
    <t xml:space="preserve">Seat-belt pretensioners (driver &amp; passenger) listed for all trims.</t>
  </si>
  <si>
    <t xml:space="preserve">HY-IN-BROCH</t>
  </si>
  <si>
    <t xml:space="preserve">https://www.hyundai.com/content/dam/hyundai/in/en/data/brochure/creta.pdf</t>
  </si>
  <si>
    <t xml:space="preserve">Load limiter not mentioned.</t>
  </si>
  <si>
    <t xml:space="preserve">ISOFIX listed for all trims.</t>
  </si>
  <si>
    <t xml:space="preserve">Brochure lists an ECM mirror with SOS button; trim fit and auto-crash call not confirmed.</t>
  </si>
  <si>
    <t xml:space="preserve">No official evidence found in this research.</t>
  </si>
  <si>
    <t xml:space="preserve">Legal requirement in India since April 2019.</t>
  </si>
  <si>
    <t xml:space="preserve">LAW-IN-ABS</t>
  </si>
  <si>
    <t xml:space="preserve">https://www.autocarindia.com/car-news/new-cars-and-bikes-to-get-more-safety-tech-this-year-411018</t>
  </si>
  <si>
    <t xml:space="preserve">Owner's manual describes Hydraulic Brake Assist; variant fit not stated.</t>
  </si>
  <si>
    <t xml:space="preserve">MA-OM</t>
  </si>
  <si>
    <t xml:space="preserve">https://booking.mahindra.com/on/demandware.static/-/Library-Sites-eSUVSharedLibrary/default/dw5ad7dd6c/OwnerManual/XEV_9e_HTML/XEV9e-OM.html</t>
  </si>
  <si>
    <t xml:space="preserve">Brochure feature table: ESP standard on Pack Three.</t>
  </si>
  <si>
    <t xml:space="preserve">MA-BROCH</t>
  </si>
  <si>
    <t xml:space="preserve">https://www.mahindraelectricsuv.com/on/demandware.static/-/Library-Sites-eSUVSharedLibrary/default/MXV9/XEV9e_BROCHURE_R1_20260428.pdf</t>
  </si>
  <si>
    <t xml:space="preserve">TPMS with individual tyre display listed for Pack Three.</t>
  </si>
  <si>
    <t xml:space="preserve">MA-BROCH, MA-PR-NCAP</t>
  </si>
  <si>
    <t xml:space="preserve">https://www.mahindraelectricsuv.com/on/demandware.static/-/Library-Sites-eSUVSharedLibrary/default/MXV9/XEV9e_BROCHURE_R1_20260428.pdf | https://auto.mahindra.com/press-release/xev-nine-e-and-be-six-create-history.html</t>
  </si>
  <si>
    <t xml:space="preserve">Owner's manual describes Hill Hold Control; variant fit not stated.</t>
  </si>
  <si>
    <t xml:space="preserve">Owner's manual describes Hill Descent Control; variant fit not stated.</t>
  </si>
  <si>
    <t xml:space="preserve">Owner's manual describes EPB with auto vehicle hold; variant fit not stated.</t>
  </si>
  <si>
    <t xml:space="preserve">Pack Three Level 2+ ADAS (5 radars + camera) includes front collision warning.</t>
  </si>
  <si>
    <t xml:space="preserve">MA-PR-TOP, MA-BROCH</t>
  </si>
  <si>
    <t xml:space="preserve">https://auto.mahindra.com/press-release/mahindra-democratises-premium-ev-technology-announces-top-variant-prices-of-be-6-and-xev-9e.html | https://www.mahindraelectricsuv.com/on/demandware.static/-/Library-Sites-eSUVSharedLibrary/default/MXV9/XEV9e_BROCHURE_R1_20260428.pdf</t>
  </si>
  <si>
    <t xml:space="preserve">Pack Three Level 2+ ADAS includes automatic emergency braking.</t>
  </si>
  <si>
    <t xml:space="preserve">ACC with stop-and-go confirmed for the Cineluxe Edition only.</t>
  </si>
  <si>
    <t xml:space="preserve">MA-FAQ</t>
  </si>
  <si>
    <t xml:space="preserve">https://www.mahindraelectricsuv.com/faq.html</t>
  </si>
  <si>
    <t xml:space="preserve">Lane centring listed in Pack Three Level 2+ suite (counted as lane keeping support).</t>
  </si>
  <si>
    <t xml:space="preserve">MA-PR-TOP</t>
  </si>
  <si>
    <t xml:space="preserve">https://auto.mahindra.com/press-release/mahindra-democratises-premium-ev-technology-announces-top-variant-prices-of-be-6-and-xev-9e.html</t>
  </si>
  <si>
    <t xml:space="preserve">Blind spot detection listed in Pack Three Level 2+ suite.</t>
  </si>
  <si>
    <t xml:space="preserve">MA-PR-TOP, MA-PR-NCAP</t>
  </si>
  <si>
    <t xml:space="preserve">https://auto.mahindra.com/press-release/mahindra-democratises-premium-ev-technology-announces-top-variant-prices-of-be-6-and-xev-9e.html | https://auto.mahindra.com/press-release/xev-nine-e-and-be-six-create-history.html</t>
  </si>
  <si>
    <t xml:space="preserve">Rear cross traffic alert listed in the Pack Three column and press release.</t>
  </si>
  <si>
    <t xml:space="preserve">MA-BROCH, MA-PR-TOP</t>
  </si>
  <si>
    <t xml:space="preserve">https://www.mahindraelectricsuv.com/on/demandware.static/-/Library-Sites-eSUVSharedLibrary/default/MXV9/XEV9e_BROCHURE_R1_20260428.pdf | https://auto.mahindra.com/press-release/mahindra-democratises-premium-ev-technology-announces-top-variant-prices-of-be-6-and-xev-9e.html</t>
  </si>
  <si>
    <t xml:space="preserve">Seven airbags.</t>
  </si>
  <si>
    <t xml:space="preserve">MA-PR-NCAP, MA-BROCH</t>
  </si>
  <si>
    <t xml:space="preserve">https://auto.mahindra.com/press-release/xev-nine-e-and-be-six-create-history.html | https://www.mahindraelectricsuv.com/on/demandware.static/-/Library-Sites-eSUVSharedLibrary/default/MXV9/XEV9e_BROCHURE_R1_20260428.pdf</t>
  </si>
  <si>
    <t xml:space="preserve">Owner's manual describes belt pretensioners; variant fit not stated.</t>
  </si>
  <si>
    <t xml:space="preserve">ISOFIX rear seats standard on Pack Three.</t>
  </si>
  <si>
    <t xml:space="preserve">Owner's manual: automatic call to 108 after airbag deployment + manual SOS; variant fit not stated.</t>
  </si>
  <si>
    <t xml:space="preserve">ABS standard on all variants (25 standard safety features).</t>
  </si>
  <si>
    <t xml:space="preserve">SK-PR, SK-SAFETY</t>
  </si>
  <si>
    <t xml:space="preserve">https://www.skoda-storyboard.com/en/press-releases/the-all-new-skoda-kylaq-a-new-era-for-skoda-in-indias-popular-sub-4-metre-suv-segment/ | https://www.skoda-auto.co.in/shopping/kylaq-safety</t>
  </si>
  <si>
    <t xml:space="preserve">EBD standard on all variants.</t>
  </si>
  <si>
    <t xml:space="preserve">SK-PR</t>
  </si>
  <si>
    <t xml:space="preserve">https://www.skoda-storyboard.com/en/press-releases/the-all-new-skoda-kylaq-a-new-era-for-skoda-in-indias-popular-sub-4-metre-suv-segment/</t>
  </si>
  <si>
    <t xml:space="preserve">Brake assist not named.</t>
  </si>
  <si>
    <t xml:space="preserve">ESC standard on all variants.</t>
  </si>
  <si>
    <t xml:space="preserve">TCS listed in the older Prestige brochure; Prestige+ fit not confirmed.</t>
  </si>
  <si>
    <t xml:space="preserve">SK-BROCH</t>
  </si>
  <si>
    <t xml:space="preserve">https://www.skoda-auto.co.in/_doc/54fc9665-9adc-4e0e-97ae-0a6b798d59c2</t>
  </si>
  <si>
    <t xml:space="preserve">TPMS on 'select variants'; Prestige+ not named.</t>
  </si>
  <si>
    <t xml:space="preserve">Sources conflict: Hill Hold standard vs 'select variants'.</t>
  </si>
  <si>
    <t xml:space="preserve">Six airbags standard on every Kylaq.</t>
  </si>
  <si>
    <t xml:space="preserve">SK-PR, SK-50K</t>
  </si>
  <si>
    <t xml:space="preserve">https://www.skoda-storyboard.com/en/press-releases/the-all-new-skoda-kylaq-a-new-era-for-skoda-in-indias-popular-sub-4-metre-suv-segment/ | https://www.skoda-auto.co.in/news/news-detail/skoda-kylaq-marks-one-year-landmark-by-celebrating-50k-sales-milestone</t>
  </si>
  <si>
    <t xml:space="preserve">ISOFIX standard.</t>
  </si>
  <si>
    <t xml:space="preserve">ABS with EBD standard (launch release).</t>
  </si>
  <si>
    <t xml:space="preserve">MS-SWIFT-PR, MS-SWIFT</t>
  </si>
  <si>
    <t xml:space="preserve">https://www.marutisuzuki.com/corporate/media/press-releases/2024/may/ms-launches-epic-new-swift-with-all-new-z-series-engine | https://www.marutisuzuki.com/arena/swift</t>
  </si>
  <si>
    <t xml:space="preserve">EBD standard.</t>
  </si>
  <si>
    <t xml:space="preserve">MS-SWIFT-PR</t>
  </si>
  <si>
    <t xml:space="preserve">https://www.marutisuzuki.com/corporate/media/press-releases/2024/may/ms-launches-epic-new-swift-with-all-new-z-series-engine</t>
  </si>
  <si>
    <t xml:space="preserve">Brake Assist standard.</t>
  </si>
  <si>
    <t xml:space="preserve">ESP standard.</t>
  </si>
  <si>
    <t xml:space="preserve">MS-SWIFT, MS-SWIFT-PR</t>
  </si>
  <si>
    <t xml:space="preserve">https://www.marutisuzuki.com/arena/swift | https://www.marutisuzuki.com/corporate/media/press-releases/2024/may/ms-launches-epic-new-swift-with-all-new-z-series-engine</t>
  </si>
  <si>
    <t xml:space="preserve">Hill Hold Assist listed for ZXi+.</t>
  </si>
  <si>
    <t xml:space="preserve">MS-SWIFT, MS-SWIFT-VAR</t>
  </si>
  <si>
    <t xml:space="preserve">https://www.marutisuzuki.com/arena/swift | https://marutisuzuki.com/cng/swift</t>
  </si>
  <si>
    <t xml:space="preserve">Six airbags standard across all variants.</t>
  </si>
  <si>
    <t xml:space="preserve">MS-SWIFT</t>
  </si>
  <si>
    <t xml:space="preserve">https://www.marutisuzuki.com/arena/swift</t>
  </si>
  <si>
    <t xml:space="preserve">ZXi+ listing: front seat belts with pre-tensioner.</t>
  </si>
  <si>
    <t xml:space="preserve">MS-SWIFT-VAR</t>
  </si>
  <si>
    <t xml:space="preserve">https://marutisuzuki.com/cng/swift</t>
  </si>
  <si>
    <t xml:space="preserve">ZXi+ listing: front seat belts with force (load) limiter.</t>
  </si>
  <si>
    <t xml:space="preserve">ISOFIX child seat anchorages listed for ZXi+.</t>
  </si>
  <si>
    <t xml:space="preserve">ABS with EBD listed as existing standard safety.</t>
  </si>
  <si>
    <t xml:space="preserve">MS-ALTO-6AB</t>
  </si>
  <si>
    <t xml:space="preserve">https://www.marutisuzuki.com/corporate/media/press-releases/2025/may/maruti-suzuki-arena-enhances-safety-by-offering-6-airbags-as-standard</t>
  </si>
  <si>
    <t xml:space="preserve">EBD listed with ABS.</t>
  </si>
  <si>
    <t xml:space="preserve">ESP+ standard from August 2024.</t>
  </si>
  <si>
    <t xml:space="preserve">MS-ALTO-ESP</t>
  </si>
  <si>
    <t xml:space="preserve">https://www.marutisuzuki.com/corporate/media/press-releases/2024/august/maruti-suzuki-offers-electronic-stability-program</t>
  </si>
  <si>
    <t xml:space="preserve">Hill Hold Assist named in the ARENA release; not clearly tied to every Alto K10 variant.</t>
  </si>
  <si>
    <t xml:space="preserve">Six airbags standard from May 2025 (an older model page still shows dual airbags).</t>
  </si>
  <si>
    <t xml:space="preserve">MS-ALTO-6AB, MS-ALTO</t>
  </si>
  <si>
    <t xml:space="preserve">https://www.marutisuzuki.com/corporate/media/press-releases/2025/may/maruti-suzuki-arena-enhances-safety-by-offering-6-airbags-as-standard | https://www.marutisuzuki.com/arena/alto-k10</t>
  </si>
  <si>
    <t xml:space="preserve">Hill Start Assist listed as standard on the UK plug-in hybrid specification page.</t>
  </si>
  <si>
    <t xml:space="preserve">VO-HYB-SPEC</t>
  </si>
  <si>
    <t xml:space="preserve">https://www.volvocars.com/uk/cars/xc90-hybrid/specifications/</t>
  </si>
  <si>
    <t xml:space="preserve">Hill Descent Control listed as standard on the UK plug-in hybrid specification page.</t>
  </si>
  <si>
    <t xml:space="preserve">Front crash prevention part of the standard safety package.</t>
  </si>
  <si>
    <t xml:space="preserve">VO-NEWS</t>
  </si>
  <si>
    <t xml:space="preserve">https://www.volvocars.com/uk/news/safety/new-and-improved-the-best-ever-volvo-xc90/</t>
  </si>
  <si>
    <t xml:space="preserve">Automatic Emergency Braking part of the standard safety package.</t>
  </si>
  <si>
    <t xml:space="preserve">Pilot Assist (adaptive cruise with steering support) listed at Core grade.</t>
  </si>
  <si>
    <t xml:space="preserve">VO-SPEC</t>
  </si>
  <si>
    <t xml:space="preserve">https://www.volvocars.com/uk/cars/new-models/xc90/specifications</t>
  </si>
  <si>
    <t xml:space="preserve">Lane Departure Warning on the UK feature list; grade not stated.</t>
  </si>
  <si>
    <t xml:space="preserve">Lane Keeping Aid on the UK feature list; grade not stated.</t>
  </si>
  <si>
    <t xml:space="preserve">VO-SPEC, VO-NEWS</t>
  </si>
  <si>
    <t xml:space="preserve">https://www.volvocars.com/uk/cars/new-models/xc90/specifications | https://www.volvocars.com/uk/news/safety/new-and-improved-the-best-ever-volvo-xc90/</t>
  </si>
  <si>
    <t xml:space="preserve">BLIS on the UK feature list and in the manual; grade not stated.</t>
  </si>
  <si>
    <t xml:space="preserve">VO-SPEC, VO-OM</t>
  </si>
  <si>
    <t xml:space="preserve">https://www.volvocars.com/uk/cars/new-models/xc90/specifications | https://www.volvocars.com/ie/support/car/xc90/article/</t>
  </si>
  <si>
    <t xml:space="preserve">Cross traffic alert with autobrake on the UK feature list; grade not stated.</t>
  </si>
  <si>
    <t xml:space="preserve">Dual-stage airbags, side airbags and inflatable curtains in manual / feature list; grade not stated.</t>
  </si>
  <si>
    <t xml:space="preserve">Seatbelt tensioner covered in owner's manual.</t>
  </si>
  <si>
    <t xml:space="preserve">VO-OM</t>
  </si>
  <si>
    <t xml:space="preserve">https://www.volvocars.com/ie/support/car/xc90/article/</t>
  </si>
  <si>
    <t xml:space="preserve">On Call emergency calling confirmed only for the earlier generation.</t>
  </si>
  <si>
    <t xml:space="preserve">ABS listed on the 2026 specification sheet.</t>
  </si>
  <si>
    <t xml:space="preserve">HY-US-5N</t>
  </si>
  <si>
    <t xml:space="preserve">https://www.hyundainews.com/assets/documents/original/68164-2026IONIQ5NSpecsFeatures20250722A.pdf</t>
  </si>
  <si>
    <t xml:space="preserve">ESC with TCS and Brake Assist listed.</t>
  </si>
  <si>
    <t xml:space="preserve">ESC listed (also required by FMVSS 126).</t>
  </si>
  <si>
    <t xml:space="preserve">HY-US-5N, LAW-US-126</t>
  </si>
  <si>
    <t xml:space="preserve">https://www.hyundainews.com/assets/documents/original/68164-2026IONIQ5NSpecsFeatures20250722A.pdf | https://www.nhtsa.gov/document/electronic-stability-control-systems-fmvss-no-126</t>
  </si>
  <si>
    <t xml:space="preserve">Traction control listed with ESC.</t>
  </si>
  <si>
    <t xml:space="preserve">TPMS with individual tyre indicators listed (also required by FMVSS 138).</t>
  </si>
  <si>
    <t xml:space="preserve">HY-US-5N, LAW-US-138</t>
  </si>
  <si>
    <t xml:space="preserve">https://www.hyundainews.com/assets/documents/original/68164-2026IONIQ5NSpecsFeatures20250722A.pdf | https://www.nhtsa.gov/sites/nhtsa.gov/files/fmvss/tirepressure-fmvss-138.pdf</t>
  </si>
  <si>
    <t xml:space="preserve">Hill-start Assist Control listed as standard.</t>
  </si>
  <si>
    <t xml:space="preserve">Electric Parking Brake with Automatic Vehicle Hold listed as standard.</t>
  </si>
  <si>
    <t xml:space="preserve">Forward Collision-Avoidance Assist not found by name on the N sheet.</t>
  </si>
  <si>
    <t xml:space="preserve">Not found by name on the N sheet.</t>
  </si>
  <si>
    <t xml:space="preserve">Smart Cruise Control with Stop &amp; Go listed as standard.</t>
  </si>
  <si>
    <t xml:space="preserve">Not listed by that name.</t>
  </si>
  <si>
    <t xml:space="preserve">Lane Keeping Assist listed as standard.</t>
  </si>
  <si>
    <t xml:space="preserve">Blind-Spot Collision-Avoidance Assist listed.</t>
  </si>
  <si>
    <t xml:space="preserve">Rear Cross-Traffic Collision-Avoidance Assist listed.</t>
  </si>
  <si>
    <t xml:space="preserve">Front, side-impact thorax and side-curtain airbags listed.</t>
  </si>
  <si>
    <t xml:space="preserve">Pretensioners at all outboard seats on the MY2025 sheet; MY2026 described as carry-over.</t>
  </si>
  <si>
    <t xml:space="preserve">HY-US-5N25, HY-US-MY26</t>
  </si>
  <si>
    <t xml:space="preserve">https://www.hyundainews.com/assets/documents/original/59548-IONIQ5NSpecs040424.pdf | https://www.hyundainews.com/releases/4513</t>
  </si>
  <si>
    <t xml:space="preserve">Load limiters on the MY2025 sheet; MY2026 carry-over.</t>
  </si>
  <si>
    <t xml:space="preserve">Rear LATCH anchors listed; MY2026 carry-over.</t>
  </si>
  <si>
    <t xml:space="preserve">Bluelink+ standard on the 2026 sheet; Bluelink+ includes Automatic Collision Notification and SOS.</t>
  </si>
  <si>
    <t xml:space="preserve">HY-US-5N, HY-US-BL</t>
  </si>
  <si>
    <t xml:space="preserve">https://www.hyundainews.com/assets/documents/original/68164-2026IONIQ5NSpecsFeatures20250722A.pdf | https://www.hyundainews.com/releases/3761?lang=en_US</t>
  </si>
  <si>
    <t xml:space="preserve">Emergency guide describes a manual high-voltage cut-off procedure, not automatic isolation.</t>
  </si>
  <si>
    <t xml:space="preserve">HY-US-ERG</t>
  </si>
  <si>
    <t xml:space="preserve">https://owners.hyundaiusa.com/content/dam/hyundai/us/myhyundai/manuals/erg/2022/ioniq-5/Ioniq5-erg.pdf</t>
  </si>
  <si>
    <t xml:space="preserve">ABS warning indicator described in the owner's manual.</t>
  </si>
  <si>
    <t xml:space="preserve">TE-OM</t>
  </si>
  <si>
    <t xml:space="preserve">https://www.tesla.com/ownersmanual/modely/en_us/Owners_Manual.pdf</t>
  </si>
  <si>
    <t xml:space="preserve">Required on all new US light vehicles (FMVSS 126).</t>
  </si>
  <si>
    <t xml:space="preserve">LAW-US-126</t>
  </si>
  <si>
    <t xml:space="preserve">https://www.nhtsa.gov/document/electronic-stability-control-systems-fmvss-no-126</t>
  </si>
  <si>
    <t xml:space="preserve">Traction control section found only in an older-generation manual.</t>
  </si>
  <si>
    <t xml:space="preserve">TPMS described in the owner's manual; required by FMVSS 138.</t>
  </si>
  <si>
    <t xml:space="preserve">TE-OM, LAW-US-138</t>
  </si>
  <si>
    <t xml:space="preserve">https://www.tesla.com/ownersmanual/modely/en_us/Owners_Manual.pdf | https://www.nhtsa.gov/sites/nhtsa.gov/files/fmvss/tirepressure-fmvss-138.pdf</t>
  </si>
  <si>
    <t xml:space="preserve">Forward Collision Warning standard on all Model Y.</t>
  </si>
  <si>
    <t xml:space="preserve">TE-MY, TE-SUP</t>
  </si>
  <si>
    <t xml:space="preserve">https://www.tesla.com/modely | https://www.tesla.com/support/vehicle-safety-security-features</t>
  </si>
  <si>
    <t xml:space="preserve">Automatic Emergency Braking standard on all Model Y.</t>
  </si>
  <si>
    <t xml:space="preserve">Manual: all Tesla vehicles are equipped with Traffic-Aware Cruise Control.</t>
  </si>
  <si>
    <t xml:space="preserve">TE-OM-TACC</t>
  </si>
  <si>
    <t xml:space="preserve">https://www.tesla.com/ownersmanual/modely/en_us/GUID-101D1BF5-52D2-469A-A57D-E7230BBEE94B.html</t>
  </si>
  <si>
    <t xml:space="preserve">Lane Departure Avoidance includes warnings per manual; warning element not separately confirmed.</t>
  </si>
  <si>
    <t xml:space="preserve">Lane Departure Avoidance (steering intervention) standard.</t>
  </si>
  <si>
    <t xml:space="preserve">Blind-spot camera / warning described in manual; trim fit not stated.</t>
  </si>
  <si>
    <t xml:space="preserve">Tesla describes multiple airbags incl. side airbags; full layout for this trim not confirmed.</t>
  </si>
  <si>
    <t xml:space="preserve">TE-SUP, TE-OM</t>
  </si>
  <si>
    <t xml:space="preserve">https://www.tesla.com/support/vehicle-safety-security-features | https://www.tesla.com/ownersmanual/modely/en_us/Owners_Manual.pdf</t>
  </si>
  <si>
    <t xml:space="preserve">Manual: front and rear-outboard pretensioners.</t>
  </si>
  <si>
    <t xml:space="preserve">TE-OM-SB</t>
  </si>
  <si>
    <t xml:space="preserve">https://www.tesla.com/ownersmanual/modely/en_us/GUID-3319C55D-F148-4D9C-98A6-AD09BA7EED61.html</t>
  </si>
  <si>
    <t xml:space="preserve">Emergency Call described 'where equipped'.</t>
  </si>
  <si>
    <t xml:space="preserve">Emergency Response Guide: airbag deployment designed to deactivate high voltage outside the battery (cited from original deck).</t>
  </si>
  <si>
    <t xml:space="preserve">TE-ERG</t>
  </si>
  <si>
    <t xml:space="preserve">https://digitalassets.tesla.com/tesla-contents/image/upload/2025-Model-Y-Emergency-Response-Guide.pdf</t>
  </si>
  <si>
    <t xml:space="preserve">Event Data Recorder described in the owner's manual.</t>
  </si>
  <si>
    <t xml:space="preserve">TE-OM-EDR</t>
  </si>
  <si>
    <t xml:space="preserve">https://www.tesla.com/ownersmanual/modely/en_us/GUID-2E8E5E0B-DAA8-40B8-9804-45F5960538DF.html</t>
  </si>
  <si>
    <t xml:space="preserve">ABS listed on Essential.</t>
  </si>
  <si>
    <t xml:space="preserve">DA-KIT23</t>
  </si>
  <si>
    <t xml:space="preserve">https://www.press.dacia.co.uk/assets/documents/original/4592-DaciaSanderoandSanderoStepwayPressKitMay2023.pdf</t>
  </si>
  <si>
    <t xml:space="preserve">Emergency Brake Assist listed on Essential.</t>
  </si>
  <si>
    <t xml:space="preserve">ESC listed on Essential.</t>
  </si>
  <si>
    <t xml:space="preserve">Tyre pressure monitor on the Essential configurator list.</t>
  </si>
  <si>
    <t xml:space="preserve">DA-CONF</t>
  </si>
  <si>
    <t xml:space="preserve">https://www.dacia.co.uk/vehicles/sandero/configurator.html</t>
  </si>
  <si>
    <t xml:space="preserve">Hill Start Assist listed on Essential.</t>
  </si>
  <si>
    <t xml:space="preserve">Forward warning not named separately.</t>
  </si>
  <si>
    <t xml:space="preserve">Advanced Emergency Braking standard from Essential.</t>
  </si>
  <si>
    <t xml:space="preserve">DA-GSR2, DA-KIT23</t>
  </si>
  <si>
    <t xml:space="preserve">https://www.press.dacia.co.uk/releases/440 | https://www.press.dacia.co.uk/assets/documents/original/4592-DaciaSanderoandSanderoStepwayPressKitMay2023.pdf</t>
  </si>
  <si>
    <t xml:space="preserve">Essential equipment list shows conventional cruise control &amp; speed limiter, not adaptive.</t>
  </si>
  <si>
    <t xml:space="preserve">Lane Departure Warning standard from Essential.</t>
  </si>
  <si>
    <t xml:space="preserve">DA-GSR2</t>
  </si>
  <si>
    <t xml:space="preserve">https://www.press.dacia.co.uk/releases/440</t>
  </si>
  <si>
    <t xml:space="preserve">Lane Keeping Assist standard from Essential.</t>
  </si>
  <si>
    <t xml:space="preserve">DA-GSR2, DA-PAGE</t>
  </si>
  <si>
    <t xml:space="preserve">https://www.press.dacia.co.uk/releases/440 | https://www.dacia.co.uk/vehicles/sandero.html</t>
  </si>
  <si>
    <t xml:space="preserve">Blind spot warning offered only on higher Stepway trims, not Essential.</t>
  </si>
  <si>
    <t xml:space="preserve">Six airbags: front, side and curtain.</t>
  </si>
  <si>
    <t xml:space="preserve">ISOFIX on both outer rear seats.</t>
  </si>
  <si>
    <t xml:space="preserve">Emergency Call (E-Call) via SOS button listed as standard.</t>
  </si>
  <si>
    <t xml:space="preserve">DA-KIT22, DA-KIT23</t>
  </si>
  <si>
    <t xml:space="preserve">https://www.press.dacia.co.uk/assets/documents/original/3930-DaciaSanderoandSanderoStepwayPressKitApril2022.pdf | https://www.press.dacia.co.uk/assets/documents/original/4592-DaciaSanderoandSanderoStepwayPressKitMay2023.pdf</t>
  </si>
  <si>
    <t xml:space="preserve">Band</t>
  </si>
  <si>
    <t xml:space="preserve">Rule (verified coverage)</t>
  </si>
  <si>
    <t xml:space="preserve">Vehicles in band</t>
  </si>
  <si>
    <t xml:space="preserve">Examples (exact variant, verified score)</t>
  </si>
  <si>
    <t xml:space="preserve">100% – Complete</t>
  </si>
  <si>
    <t xml:space="preserve">No vehicle in the reviewed sample could be confirmed to include every feature in the defined checklist.</t>
  </si>
  <si>
    <t xml:space="preserve">75% band</t>
  </si>
  <si>
    <t xml:space="preserve">75% to 99.9%</t>
  </si>
  <si>
    <t xml:space="preserve">No vehicle in the reviewed sample reached 75% on verified evidence.</t>
  </si>
  <si>
    <t xml:space="preserve">50% band</t>
  </si>
  <si>
    <t xml:space="preserve">50% to 74.9%</t>
  </si>
  <si>
    <t xml:space="preserve">Hyundai IONIQ 5 N IONIQ 5 N (single trim) (United States, MY2026): 13/24 = 54.2%; Hyundai Creta King (automatic: IVT/DCT) (India, 2026 (current India line-up, Oct 2026)): 12/24 = 50.0%</t>
  </si>
  <si>
    <t xml:space="preserve">25% band</t>
  </si>
  <si>
    <t xml:space="preserve">25% to 49.9%</t>
  </si>
  <si>
    <t xml:space="preserve">Dacia Sandero Essential (entry trim) (United Kingdom, 2025–26 (GSR2-compliant)): 11/24 = 45.8%; Mahindra XEV 9e Pack Three (India, 2025–26): 10/24 = 41.7%; Maruti Suzuki Swift ZXi+ (India, 2024– (4th generation)): 9/24 = 37.5%; Tesla Model Y Premium (Long Range) (United States, 2025+ (MY2026, software 2026.32)): 6/24 = 25.0%</t>
  </si>
  <si>
    <t xml:space="preserve">Below 25%</t>
  </si>
  <si>
    <t xml:space="preserve">under 25%</t>
  </si>
  <si>
    <t xml:space="preserve">Škoda Kylaq Prestige+ (top variant) (India, 2025–26): 5/24 = 20.8%; Volvo XC90 T8 plug-in hybrid, Core grade (United Kingdom, MY2025 (updated XC90)): 5/24 = 20.8%; Maruti Suzuki Alto K10 Any variant (features stated standard on all variants) (India, 2025–26): 4/24 = 16.7%</t>
  </si>
  <si>
    <t xml:space="preserve">Counts are live formulas on the 'Coverage Matrix' sheet; the example text was written at the research date and does not update automatically.</t>
  </si>
  <si>
    <t xml:space="preserve">Source ID</t>
  </si>
  <si>
    <t xml:space="preserve">Publisher</t>
  </si>
  <si>
    <t xml:space="preserve">Title / description</t>
  </si>
  <si>
    <t xml:space="preserve">URL</t>
  </si>
  <si>
    <t xml:space="preserve">Source type</t>
  </si>
  <si>
    <t xml:space="preserve">Used for (vehicles / topics)</t>
  </si>
  <si>
    <t xml:space="preserve">Autocar India (cited in original deck)</t>
  </si>
  <si>
    <t xml:space="preserve">ABS compulsory on all cars on sale in India from April 2019</t>
  </si>
  <si>
    <t xml:space="preserve">Regulatory (secondary report)</t>
  </si>
  <si>
    <t xml:space="preserve">Hyundai Creta; Mahindra XEV 9e</t>
  </si>
  <si>
    <t xml:space="preserve">NHTSA</t>
  </si>
  <si>
    <t xml:space="preserve">FMVSS No. 126 Electronic Stability Control Systems</t>
  </si>
  <si>
    <t xml:space="preserve">Regulation</t>
  </si>
  <si>
    <t xml:space="preserve">Hyundai IONIQ 5 N; Tesla Model Y</t>
  </si>
  <si>
    <t xml:space="preserve">LAW-US-138</t>
  </si>
  <si>
    <t xml:space="preserve">FMVSS No. 138 Tire Pressure Monitoring Systems</t>
  </si>
  <si>
    <t xml:space="preserve">https://www.nhtsa.gov/sites/nhtsa.gov/files/fmvss/tirepressure-fmvss-138.pdf</t>
  </si>
  <si>
    <t xml:space="preserve">LAW-US-127</t>
  </si>
  <si>
    <t xml:space="preserve">FMVSS No. 127 Automatic Emergency Braking final rule (compliance from 1 Sept 2029)</t>
  </si>
  <si>
    <t xml:space="preserve">https://www.nhtsa.gov/press-releases/nhtsa-fmvss-127-automatic-emergency-braking-reduce-crashes</t>
  </si>
  <si>
    <t xml:space="preserve">India vs global slide</t>
  </si>
  <si>
    <t xml:space="preserve">LAW-EU-GSR2</t>
  </si>
  <si>
    <t xml:space="preserve">EUR-Lex</t>
  </si>
  <si>
    <t xml:space="preserve">Regulation (EU) 2019/2144 consolidated text (07.07.2024)</t>
  </si>
  <si>
    <t xml:space="preserve">https://eur-lex.europa.eu/eli/reg/2019/2144/2024-07-07/eng</t>
  </si>
  <si>
    <t xml:space="preserve">India vs global slide; crash sequence slide</t>
  </si>
  <si>
    <t xml:space="preserve">LAW-EU-GSR2-PR</t>
  </si>
  <si>
    <t xml:space="preserve">European Commission</t>
  </si>
  <si>
    <t xml:space="preserve">Mandatory driver assistance systems apply to all new vehicles from 7 July 2024</t>
  </si>
  <si>
    <t xml:space="preserve">https://single-market-economy.ec.europa.eu/news/mandatory-drivers-assistance-systems-expected-help-save-over-25000-lives-2038-2024-07-05_en</t>
  </si>
  <si>
    <t xml:space="preserve">LAW-EU-ECALL</t>
  </si>
  <si>
    <t xml:space="preserve">European Union – Your Europe (cited in original deck)</t>
  </si>
  <si>
    <t xml:space="preserve">eCall in new car models approved after 31 March 2018</t>
  </si>
  <si>
    <t xml:space="preserve">https://europa.eu/youreurope/citizens/travel/security-and-emergencies/emergency-assistance-vehicles-ecall/index_en.htm</t>
  </si>
  <si>
    <t xml:space="preserve">BNCAP</t>
  </si>
  <si>
    <t xml:space="preserve">PIB, Government of India</t>
  </si>
  <si>
    <t xml:space="preserve">Bharat NCAP launched 22 Aug 2023; testing from 1 Oct 2023</t>
  </si>
  <si>
    <t xml:space="preserve">https://www.pib.gov.in/PressReleaseIframePage.aspx?PRID=1951030&amp;reg=3&amp;lang=2</t>
  </si>
  <si>
    <t xml:space="preserve">Regulatory / testing</t>
  </si>
  <si>
    <t xml:space="preserve">BNCAP-FAQ</t>
  </si>
  <si>
    <t xml:space="preserve">Bharat NCAP</t>
  </si>
  <si>
    <t xml:space="preserve">Programme website (voluntary star rating)</t>
  </si>
  <si>
    <t xml:space="preserve">https://www.bncap.in/</t>
  </si>
  <si>
    <t xml:space="preserve">Testing organisation</t>
  </si>
  <si>
    <t xml:space="preserve">Hyundai Motor India</t>
  </si>
  <si>
    <t xml:space="preserve">CRETA safety page</t>
  </si>
  <si>
    <t xml:space="preserve">Official model page</t>
  </si>
  <si>
    <t xml:space="preserve">Hyundai Creta</t>
  </si>
  <si>
    <t xml:space="preserve">HY-IN-FEAT</t>
  </si>
  <si>
    <t xml:space="preserve">CRETA features page (variant feature table)</t>
  </si>
  <si>
    <t xml:space="preserve">https://www.hyundai.com/in/en/find-a-car/creta/features</t>
  </si>
  <si>
    <t xml:space="preserve">HY-IN-BROCH-K</t>
  </si>
  <si>
    <t xml:space="preserve">CRETA brochure (Knight / King)</t>
  </si>
  <si>
    <t xml:space="preserve">https://www.hyundai.com/content/dam/hyundai/in/en/data/brochure/creta-brochureknight.pdf</t>
  </si>
  <si>
    <t xml:space="preserve">Official brochure</t>
  </si>
  <si>
    <t xml:space="preserve">CRETA digital brochure (all trims)</t>
  </si>
  <si>
    <t xml:space="preserve">Hyundai CRETA car variants explained (blog)</t>
  </si>
  <si>
    <t xml:space="preserve">Official blog</t>
  </si>
  <si>
    <t xml:space="preserve">Hyundai CRETA 2026 advanced features &amp; specs guide (blog)</t>
  </si>
  <si>
    <t xml:space="preserve">HY-IN-PRICE</t>
  </si>
  <si>
    <t xml:space="preserve">CRETA price page (lineup safety summary)</t>
  </si>
  <si>
    <t xml:space="preserve">https://www.hyundai.com/in/en/find-a-car/creta/price</t>
  </si>
  <si>
    <t xml:space="preserve">Mahindra Electric SUV</t>
  </si>
  <si>
    <t xml:space="preserve">XEV 9e brochure R1 (28 Apr 2026)</t>
  </si>
  <si>
    <t xml:space="preserve">Mahindra XEV 9e</t>
  </si>
  <si>
    <t xml:space="preserve">MA-PR-NCAP</t>
  </si>
  <si>
    <t xml:space="preserve">BE 6 and XEV 9e create history with 5-star Bharat NCAP rating</t>
  </si>
  <si>
    <t xml:space="preserve">https://auto.mahindra.com/press-release/xev-nine-e-and-be-six-create-history.html</t>
  </si>
  <si>
    <t xml:space="preserve">Official press release</t>
  </si>
  <si>
    <t xml:space="preserve">Top-variant prices of BE 6 &amp; XEV 9e (Pack Three features)</t>
  </si>
  <si>
    <t xml:space="preserve">XEV 9e owner's manual (HTML)</t>
  </si>
  <si>
    <t xml:space="preserve">Owner's manual</t>
  </si>
  <si>
    <t xml:space="preserve">FAQs (XEV 9e Cineluxe ADAS)</t>
  </si>
  <si>
    <t xml:space="preserve">Official FAQ</t>
  </si>
  <si>
    <t xml:space="preserve">Škoda Storyboard</t>
  </si>
  <si>
    <t xml:space="preserve">The all-new Škoda Kylaq (press release, 6 Nov 2024)</t>
  </si>
  <si>
    <t xml:space="preserve">Škoda Kylaq</t>
  </si>
  <si>
    <t xml:space="preserve">SK-SAFETY</t>
  </si>
  <si>
    <t xml:space="preserve">Škoda Auto India</t>
  </si>
  <si>
    <t xml:space="preserve">Kylaq safety page</t>
  </si>
  <si>
    <t xml:space="preserve">https://www.skoda-auto.co.in/shopping/kylaq-safety</t>
  </si>
  <si>
    <t xml:space="preserve">SK-50K</t>
  </si>
  <si>
    <t xml:space="preserve">Kylaq 50,000 sales milestone (variant line-up incl. Prestige+)</t>
  </si>
  <si>
    <t xml:space="preserve">https://www.skoda-auto.co.in/news/news-detail/skoda-kylaq-marks-one-year-landmark-by-celebrating-50k-sales-milestone</t>
  </si>
  <si>
    <t xml:space="preserve">Kylaq brochure (Prestige)</t>
  </si>
  <si>
    <t xml:space="preserve">Swift official page</t>
  </si>
  <si>
    <t xml:space="preserve">Maruti Suzuki Swift</t>
  </si>
  <si>
    <t xml:space="preserve">Launch of the Epic New Swift (May 2024)</t>
  </si>
  <si>
    <t xml:space="preserve">Swift variant feature listing (CNG / variants page)</t>
  </si>
  <si>
    <t xml:space="preserve">ARENA offers 6 airbags as standard (May 2025)</t>
  </si>
  <si>
    <t xml:space="preserve">Maruti Suzuki Alto K10</t>
  </si>
  <si>
    <t xml:space="preserve">ESP+ standard in Alto K10 and S-Presso (Aug 2024)</t>
  </si>
  <si>
    <t xml:space="preserve">MS-ALTO</t>
  </si>
  <si>
    <t xml:space="preserve">Alto K10 official page</t>
  </si>
  <si>
    <t xml:space="preserve">https://www.marutisuzuki.com/arena/alto-k10</t>
  </si>
  <si>
    <t xml:space="preserve">Volvo Car UK</t>
  </si>
  <si>
    <t xml:space="preserve">XC90 plug-in hybrid specifications</t>
  </si>
  <si>
    <t xml:space="preserve">Official specification page</t>
  </si>
  <si>
    <t xml:space="preserve">Volvo XC90</t>
  </si>
  <si>
    <t xml:space="preserve">XC90 specifications (grades and standard features)</t>
  </si>
  <si>
    <t xml:space="preserve">New and improved: the best-ever Volvo XC90</t>
  </si>
  <si>
    <t xml:space="preserve">Official news page</t>
  </si>
  <si>
    <t xml:space="preserve">Volvo Cars</t>
  </si>
  <si>
    <t xml:space="preserve">XC90 owner's manual (airbags, inflatable curtains, BLIS, seatbelt tensioner sections)</t>
  </si>
  <si>
    <t xml:space="preserve">Hyundai Motor America</t>
  </si>
  <si>
    <t xml:space="preserve">2026 IONIQ 5 N Specs and Features (22 Jul 2025)</t>
  </si>
  <si>
    <t xml:space="preserve">Official specification sheet</t>
  </si>
  <si>
    <t xml:space="preserve">Hyundai IONIQ 5 N</t>
  </si>
  <si>
    <t xml:space="preserve">HY-US-5N25</t>
  </si>
  <si>
    <t xml:space="preserve">IONIQ 5 N specifications (2025 model year)</t>
  </si>
  <si>
    <t xml:space="preserve">https://www.hyundainews.com/assets/documents/original/59548-IONIQ5NSpecs040424.pdf</t>
  </si>
  <si>
    <t xml:space="preserve">HY-US-MY26</t>
  </si>
  <si>
    <t xml:space="preserve">2026 model year changes (IONIQ 5 N carry-over)</t>
  </si>
  <si>
    <t xml:space="preserve">https://www.hyundainews.com/releases/4513</t>
  </si>
  <si>
    <t xml:space="preserve">HY-US-BL</t>
  </si>
  <si>
    <t xml:space="preserve">Hyundai launches Bluelink+ (ACN and SOS included)</t>
  </si>
  <si>
    <t xml:space="preserve">https://www.hyundainews.com/releases/3761?lang=en_US</t>
  </si>
  <si>
    <t xml:space="preserve">IONIQ 5 Emergency Response Guide</t>
  </si>
  <si>
    <t xml:space="preserve">Emergency response guide</t>
  </si>
  <si>
    <t xml:space="preserve">TE-MY</t>
  </si>
  <si>
    <t xml:space="preserve">Model Y page (FCW, AEB, Lane Departure Avoidance standard)</t>
  </si>
  <si>
    <t xml:space="preserve">https://www.tesla.com/modely</t>
  </si>
  <si>
    <t xml:space="preserve">Tesla Model Y</t>
  </si>
  <si>
    <t xml:space="preserve">TE-SUP</t>
  </si>
  <si>
    <t xml:space="preserve">Vehicle safety and security features (support)</t>
  </si>
  <si>
    <t xml:space="preserve">https://www.tesla.com/support/vehicle-safety-security-features</t>
  </si>
  <si>
    <t xml:space="preserve">Official support page</t>
  </si>
  <si>
    <t xml:space="preserve">Model Y 2025+ Owner's Manual, North America (software 2026.32)</t>
  </si>
  <si>
    <t xml:space="preserve">Model Y Owner's Manual – Event Data Recorder</t>
  </si>
  <si>
    <t xml:space="preserve">Model Y Owner's Manual – Traffic-Aware Cruise Control (all Tesla vehicles)</t>
  </si>
  <si>
    <t xml:space="preserve">Model Y Owner's Manual – seat belts and pretensioners</t>
  </si>
  <si>
    <t xml:space="preserve">Tesla (cited in original deck)</t>
  </si>
  <si>
    <t xml:space="preserve">2025 Model Y Emergency Response Guide</t>
  </si>
  <si>
    <t xml:space="preserve">Dacia UK</t>
  </si>
  <si>
    <t xml:space="preserve">Dacia says yes to extra equipment and no to extra cost (GSR2 kit standard from Essential)</t>
  </si>
  <si>
    <t xml:space="preserve">Dacia Sandero</t>
  </si>
  <si>
    <t xml:space="preserve">Sandero and Sandero Stepway press kit (May 2023)</t>
  </si>
  <si>
    <t xml:space="preserve">Official press kit</t>
  </si>
  <si>
    <t xml:space="preserve">DA-KIT22</t>
  </si>
  <si>
    <t xml:space="preserve">Sandero and Sandero Stepway press kit (April 2022)</t>
  </si>
  <si>
    <t xml:space="preserve">https://www.press.dacia.co.uk/assets/documents/original/3930-DaciaSanderoandSanderoStepwayPressKitApril2022.pdf</t>
  </si>
  <si>
    <t xml:space="preserve">Sandero configurator (Essential equipment list)</t>
  </si>
  <si>
    <t xml:space="preserve">Official configurator</t>
  </si>
  <si>
    <t xml:space="preserve">DA-PAGE</t>
  </si>
  <si>
    <t xml:space="preserve">New Sandero model page</t>
  </si>
  <si>
    <t xml:space="preserve">https://www.dacia.co.uk/vehicles/sandero.html</t>
  </si>
</sst>
</file>

<file path=xl/styles.xml><?xml version="1.0" encoding="utf-8"?>
<styleSheet xmlns="http://schemas.openxmlformats.org/spreadsheetml/2006/main">
  <numFmts count="4">
    <numFmt numFmtId="164" formatCode="General"/>
    <numFmt numFmtId="165" formatCode="General"/>
    <numFmt numFmtId="166" formatCode="0.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4"/>
      <color rgb="FF0B1F3A"/>
      <name val="Arial"/>
      <family val="0"/>
      <charset val="1"/>
    </font>
    <font>
      <sz val="10"/>
      <name val="Arial"/>
      <family val="0"/>
      <charset val="1"/>
    </font>
    <font>
      <b val="true"/>
      <sz val="10"/>
      <color rgb="FF0B1F3A"/>
      <name val="Arial"/>
      <family val="0"/>
      <charset val="1"/>
    </font>
    <font>
      <b val="true"/>
      <sz val="11"/>
      <color rgb="FFFFFFFF"/>
      <name val="Arial"/>
      <family val="0"/>
      <charset val="1"/>
    </font>
    <font>
      <sz val="10"/>
      <color rgb="FF0B1F3A"/>
      <name val="Arial"/>
      <family val="0"/>
      <charset val="1"/>
    </font>
    <font>
      <b val="true"/>
      <sz val="11"/>
      <name val="Arial"/>
      <family val="0"/>
      <charset val="1"/>
    </font>
    <font>
      <i val="true"/>
      <sz val="10"/>
      <name val="Arial"/>
      <family val="0"/>
      <charset val="1"/>
    </font>
    <font>
      <u val="single"/>
      <sz val="10"/>
      <color rgb="FF1D4ED8"/>
      <name val="Arial"/>
      <family val="0"/>
      <charset val="1"/>
    </font>
  </fonts>
  <fills count="8">
    <fill>
      <patternFill patternType="none"/>
    </fill>
    <fill>
      <patternFill patternType="gray125"/>
    </fill>
    <fill>
      <patternFill patternType="solid">
        <fgColor rgb="FFDCFCE7"/>
        <bgColor rgb="FFD1FAE5"/>
      </patternFill>
    </fill>
    <fill>
      <patternFill patternType="solid">
        <fgColor rgb="FFD1FAE5"/>
        <bgColor rgb="FFDCFCE7"/>
      </patternFill>
    </fill>
    <fill>
      <patternFill patternType="solid">
        <fgColor rgb="FFFEF3C7"/>
        <bgColor rgb="FFFEE2E2"/>
      </patternFill>
    </fill>
    <fill>
      <patternFill patternType="solid">
        <fgColor rgb="FFFEE2E2"/>
        <bgColor rgb="FFFEF3C7"/>
      </patternFill>
    </fill>
    <fill>
      <patternFill patternType="solid">
        <fgColor rgb="FFF1F5F9"/>
        <bgColor rgb="FFFFFFFF"/>
      </patternFill>
    </fill>
    <fill>
      <patternFill patternType="solid">
        <fgColor rgb="FF0B1F3A"/>
        <bgColor rgb="FF003300"/>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6" fillId="4" borderId="0" xfId="0" applyFont="true" applyBorder="false" applyAlignment="true" applyProtection="false">
      <alignment horizontal="general"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false" indent="0" shrinkToFit="false"/>
      <protection locked="true" hidden="false"/>
    </xf>
    <xf numFmtId="164" fontId="6" fillId="6" borderId="0" xfId="0" applyFont="true" applyBorder="fals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right" vertical="center" textRotation="9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2" borderId="1" xfId="0" applyFont="true" applyBorder="true" applyAlignment="true" applyProtection="false">
      <alignment horizontal="center" vertical="top" textRotation="0" wrapText="fals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7" fontId="8"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0B1F3A"/>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DCFCE7"/>
          <bgColor rgb="FF000000"/>
        </patternFill>
      </fill>
    </dxf>
    <dxf>
      <fill>
        <patternFill patternType="solid">
          <fgColor rgb="FFF1F5F9"/>
          <bgColor rgb="FF000000"/>
        </patternFill>
      </fill>
    </dxf>
    <dxf>
      <fill>
        <patternFill patternType="solid">
          <fgColor rgb="FFFEF3C7"/>
          <bgColor rgb="FF000000"/>
        </patternFill>
      </fill>
    </dxf>
    <dxf>
      <fill>
        <patternFill patternType="solid">
          <fgColor rgb="FFFEE2E2"/>
          <bgColor rgb="FF000000"/>
        </patternFill>
      </fill>
    </dxf>
    <dxf>
      <fill>
        <patternFill>
          <bgColor rgb="FFDCFCE7"/>
        </patternFill>
      </fill>
    </dxf>
    <dxf>
      <fill>
        <patternFill>
          <bgColor rgb="FFD1FAE5"/>
        </patternFill>
      </fill>
    </dxf>
    <dxf>
      <fill>
        <patternFill>
          <bgColor rgb="FFFEF3C7"/>
        </patternFill>
      </fill>
    </dxf>
    <dxf>
      <fill>
        <patternFill>
          <bgColor rgb="FFFEE2E2"/>
        </patternFill>
      </fill>
    </dxf>
    <dxf>
      <fill>
        <patternFill>
          <bgColor rgb="FFF1F5F9"/>
        </patternFill>
      </fill>
    </dxf>
    <dxf>
      <fill>
        <patternFill patternType="solid">
          <fgColor rgb="FF1D4ED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1D4ED8"/>
      <rgbColor rgb="FFCBD5E1"/>
      <rgbColor rgb="FF000080"/>
      <rgbColor rgb="FFFF00FF"/>
      <rgbColor rgb="FFFFFF00"/>
      <rgbColor rgb="FF00FFFF"/>
      <rgbColor rgb="FF800080"/>
      <rgbColor rgb="FF800000"/>
      <rgbColor rgb="FF008080"/>
      <rgbColor rgb="FF0000FF"/>
      <rgbColor rgb="FF00CCFF"/>
      <rgbColor rgb="FFF1F5F9"/>
      <rgbColor rgb="FFD1FAE5"/>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B1F3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www.autocarindia.com/car-news/new-cars-and-bikes-to-get-more-safety-tech-this-year-411018" TargetMode="External"/><Relationship Id="rId2" Type="http://schemas.openxmlformats.org/officeDocument/2006/relationships/hyperlink" Target="https://www.nhtsa.gov/document/electronic-stability-control-systems-fmvss-no-126" TargetMode="External"/><Relationship Id="rId3" Type="http://schemas.openxmlformats.org/officeDocument/2006/relationships/hyperlink" Target="https://www.nhtsa.gov/sites/nhtsa.gov/files/fmvss/tirepressure-fmvss-138.pdf" TargetMode="External"/><Relationship Id="rId4" Type="http://schemas.openxmlformats.org/officeDocument/2006/relationships/hyperlink" Target="https://www.nhtsa.gov/press-releases/nhtsa-fmvss-127-automatic-emergency-braking-reduce-crashes" TargetMode="External"/><Relationship Id="rId5" Type="http://schemas.openxmlformats.org/officeDocument/2006/relationships/hyperlink" Target="https://eur-lex.europa.eu/eli/reg/2019/2144/2024-07-07/eng" TargetMode="External"/><Relationship Id="rId6" Type="http://schemas.openxmlformats.org/officeDocument/2006/relationships/hyperlink" Target="https://single-market-economy.ec.europa.eu/news/mandatory-drivers-assistance-systems-expected-help-save-over-25000-lives-2038-2024-07-05_en" TargetMode="External"/><Relationship Id="rId7" Type="http://schemas.openxmlformats.org/officeDocument/2006/relationships/hyperlink" Target="https://europa.eu/youreurope/citizens/travel/security-and-emergencies/emergency-assistance-vehicles-ecall/index_en.htm" TargetMode="External"/><Relationship Id="rId8" Type="http://schemas.openxmlformats.org/officeDocument/2006/relationships/hyperlink" Target="https://www.pib.gov.in/PressReleaseIframePage.aspx?PRID=1951030&amp;reg=3&amp;lang=2" TargetMode="External"/><Relationship Id="rId9" Type="http://schemas.openxmlformats.org/officeDocument/2006/relationships/hyperlink" Target="https://www.bncap.in/" TargetMode="External"/><Relationship Id="rId10" Type="http://schemas.openxmlformats.org/officeDocument/2006/relationships/hyperlink" Target="https://www.hyundai.com/in/en/find-a-car/creta/safety" TargetMode="External"/><Relationship Id="rId11" Type="http://schemas.openxmlformats.org/officeDocument/2006/relationships/hyperlink" Target="https://www.hyundai.com/in/en/find-a-car/creta/features" TargetMode="External"/><Relationship Id="rId12" Type="http://schemas.openxmlformats.org/officeDocument/2006/relationships/hyperlink" Target="https://www.hyundai.com/content/dam/hyundai/in/en/data/brochure/creta-brochureknight.pdf" TargetMode="External"/><Relationship Id="rId13" Type="http://schemas.openxmlformats.org/officeDocument/2006/relationships/hyperlink" Target="https://www.hyundai.com/content/dam/hyundai/in/en/data/brochure/creta.pdf" TargetMode="External"/><Relationship Id="rId14" Type="http://schemas.openxmlformats.org/officeDocument/2006/relationships/hyperlink" Target="https://www.hyundai.com/in/en/blog/hyundai-creta-car-variants-explained" TargetMode="External"/><Relationship Id="rId15" Type="http://schemas.openxmlformats.org/officeDocument/2006/relationships/hyperlink" Target="https://www.hyundai.com/in/en/blog/hyundai-creta-advance-features-specs-guide" TargetMode="External"/><Relationship Id="rId16" Type="http://schemas.openxmlformats.org/officeDocument/2006/relationships/hyperlink" Target="https://www.hyundai.com/in/en/find-a-car/creta/price" TargetMode="External"/><Relationship Id="rId17" Type="http://schemas.openxmlformats.org/officeDocument/2006/relationships/hyperlink" Target="https://www.mahindraelectricsuv.com/on/demandware.static/-/Library-Sites-eSUVSharedLibrary/default/MXV9/XEV9e_BROCHURE_R1_20260428.pdf" TargetMode="External"/><Relationship Id="rId18" Type="http://schemas.openxmlformats.org/officeDocument/2006/relationships/hyperlink" Target="https://auto.mahindra.com/press-release/xev-nine-e-and-be-six-create-history.html" TargetMode="External"/><Relationship Id="rId19" Type="http://schemas.openxmlformats.org/officeDocument/2006/relationships/hyperlink" Target="https://auto.mahindra.com/press-release/mahindra-democratises-premium-ev-technology-announces-top-variant-prices-of-be-6-and-xev-9e.html" TargetMode="External"/><Relationship Id="rId20" Type="http://schemas.openxmlformats.org/officeDocument/2006/relationships/hyperlink" Target="https://booking.mahindra.com/on/demandware.static/-/Library-Sites-eSUVSharedLibrary/default/dw5ad7dd6c/OwnerManual/XEV_9e_HTML/XEV9e-OM.html" TargetMode="External"/><Relationship Id="rId21" Type="http://schemas.openxmlformats.org/officeDocument/2006/relationships/hyperlink" Target="https://www.mahindraelectricsuv.com/faq.html" TargetMode="External"/><Relationship Id="rId22" Type="http://schemas.openxmlformats.org/officeDocument/2006/relationships/hyperlink" Target="https://www.skoda-storyboard.com/en/press-releases/the-all-new-skoda-kylaq-a-new-era-for-skoda-in-indias-popular-sub-4-metre-suv-segment/" TargetMode="External"/><Relationship Id="rId23" Type="http://schemas.openxmlformats.org/officeDocument/2006/relationships/hyperlink" Target="https://www.skoda-auto.co.in/shopping/kylaq-safety" TargetMode="External"/><Relationship Id="rId24" Type="http://schemas.openxmlformats.org/officeDocument/2006/relationships/hyperlink" Target="https://www.skoda-auto.co.in/news/news-detail/skoda-kylaq-marks-one-year-landmark-by-celebrating-50k-sales-milestone" TargetMode="External"/><Relationship Id="rId25" Type="http://schemas.openxmlformats.org/officeDocument/2006/relationships/hyperlink" Target="https://www.skoda-auto.co.in/_doc/54fc9665-9adc-4e0e-97ae-0a6b798d59c2" TargetMode="External"/><Relationship Id="rId26" Type="http://schemas.openxmlformats.org/officeDocument/2006/relationships/hyperlink" Target="https://www.marutisuzuki.com/arena/swift" TargetMode="External"/><Relationship Id="rId27" Type="http://schemas.openxmlformats.org/officeDocument/2006/relationships/hyperlink" Target="https://www.marutisuzuki.com/corporate/media/press-releases/2024/may/ms-launches-epic-new-swift-with-all-new-z-series-engine" TargetMode="External"/><Relationship Id="rId28" Type="http://schemas.openxmlformats.org/officeDocument/2006/relationships/hyperlink" Target="https://marutisuzuki.com/cng/swift" TargetMode="External"/><Relationship Id="rId29" Type="http://schemas.openxmlformats.org/officeDocument/2006/relationships/hyperlink" Target="https://www.marutisuzuki.com/corporate/media/press-releases/2025/may/maruti-suzuki-arena-enhances-safety-by-offering-6-airbags-as-standard" TargetMode="External"/><Relationship Id="rId30" Type="http://schemas.openxmlformats.org/officeDocument/2006/relationships/hyperlink" Target="https://www.marutisuzuki.com/corporate/media/press-releases/2024/august/maruti-suzuki-offers-electronic-stability-program" TargetMode="External"/><Relationship Id="rId31" Type="http://schemas.openxmlformats.org/officeDocument/2006/relationships/hyperlink" Target="https://www.marutisuzuki.com/arena/alto-k10" TargetMode="External"/><Relationship Id="rId32" Type="http://schemas.openxmlformats.org/officeDocument/2006/relationships/hyperlink" Target="https://www.volvocars.com/uk/cars/xc90-hybrid/specifications/" TargetMode="External"/><Relationship Id="rId33" Type="http://schemas.openxmlformats.org/officeDocument/2006/relationships/hyperlink" Target="https://www.volvocars.com/uk/cars/new-models/xc90/specifications" TargetMode="External"/><Relationship Id="rId34" Type="http://schemas.openxmlformats.org/officeDocument/2006/relationships/hyperlink" Target="https://www.volvocars.com/uk/news/safety/new-and-improved-the-best-ever-volvo-xc90/" TargetMode="External"/><Relationship Id="rId35" Type="http://schemas.openxmlformats.org/officeDocument/2006/relationships/hyperlink" Target="https://www.volvocars.com/ie/support/car/xc90/article/" TargetMode="External"/><Relationship Id="rId36" Type="http://schemas.openxmlformats.org/officeDocument/2006/relationships/hyperlink" Target="https://www.hyundainews.com/assets/documents/original/68164-2026IONIQ5NSpecsFeatures20250722A.pdf" TargetMode="External"/><Relationship Id="rId37" Type="http://schemas.openxmlformats.org/officeDocument/2006/relationships/hyperlink" Target="https://www.hyundainews.com/assets/documents/original/59548-IONIQ5NSpecs040424.pdf" TargetMode="External"/><Relationship Id="rId38" Type="http://schemas.openxmlformats.org/officeDocument/2006/relationships/hyperlink" Target="https://www.hyundainews.com/releases/4513" TargetMode="External"/><Relationship Id="rId39" Type="http://schemas.openxmlformats.org/officeDocument/2006/relationships/hyperlink" Target="https://www.hyundainews.com/releases/3761?lang=en_US" TargetMode="External"/><Relationship Id="rId40" Type="http://schemas.openxmlformats.org/officeDocument/2006/relationships/hyperlink" Target="https://owners.hyundaiusa.com/content/dam/hyundai/us/myhyundai/manuals/erg/2022/ioniq-5/Ioniq5-erg.pdf" TargetMode="External"/><Relationship Id="rId41" Type="http://schemas.openxmlformats.org/officeDocument/2006/relationships/hyperlink" Target="https://www.tesla.com/modely" TargetMode="External"/><Relationship Id="rId42" Type="http://schemas.openxmlformats.org/officeDocument/2006/relationships/hyperlink" Target="https://www.tesla.com/support/vehicle-safety-security-features" TargetMode="External"/><Relationship Id="rId43" Type="http://schemas.openxmlformats.org/officeDocument/2006/relationships/hyperlink" Target="https://www.tesla.com/ownersmanual/modely/en_us/Owners_Manual.pdf" TargetMode="External"/><Relationship Id="rId44" Type="http://schemas.openxmlformats.org/officeDocument/2006/relationships/hyperlink" Target="https://www.tesla.com/ownersmanual/modely/en_us/GUID-2E8E5E0B-DAA8-40B8-9804-45F5960538DF.html" TargetMode="External"/><Relationship Id="rId45" Type="http://schemas.openxmlformats.org/officeDocument/2006/relationships/hyperlink" Target="https://www.tesla.com/ownersmanual/modely/en_us/GUID-101D1BF5-52D2-469A-A57D-E7230BBEE94B.html" TargetMode="External"/><Relationship Id="rId46" Type="http://schemas.openxmlformats.org/officeDocument/2006/relationships/hyperlink" Target="https://www.tesla.com/ownersmanual/modely/en_us/GUID-3319C55D-F148-4D9C-98A6-AD09BA7EED61.html" TargetMode="External"/><Relationship Id="rId47" Type="http://schemas.openxmlformats.org/officeDocument/2006/relationships/hyperlink" Target="https://digitalassets.tesla.com/tesla-contents/image/upload/2025-Model-Y-Emergency-Response-Guide.pdf" TargetMode="External"/><Relationship Id="rId48" Type="http://schemas.openxmlformats.org/officeDocument/2006/relationships/hyperlink" Target="https://www.press.dacia.co.uk/releases/440" TargetMode="External"/><Relationship Id="rId49" Type="http://schemas.openxmlformats.org/officeDocument/2006/relationships/hyperlink" Target="https://www.press.dacia.co.uk/assets/documents/original/4592-DaciaSanderoandSanderoStepwayPressKitMay2023.pdf" TargetMode="External"/><Relationship Id="rId50" Type="http://schemas.openxmlformats.org/officeDocument/2006/relationships/hyperlink" Target="https://www.press.dacia.co.uk/assets/documents/original/3930-DaciaSanderoandSanderoStepwayPressKitApril2022.pdf" TargetMode="External"/><Relationship Id="rId51" Type="http://schemas.openxmlformats.org/officeDocument/2006/relationships/hyperlink" Target="https://www.dacia.co.uk/vehicles/sandero/configurator.html" TargetMode="External"/><Relationship Id="rId52" Type="http://schemas.openxmlformats.org/officeDocument/2006/relationships/hyperlink" Target="https://www.dacia.co.uk/vehicles/sandero.html" TargetMode="External"/><Relationship Id="rId53"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c r="B1" s="2"/>
    </row>
    <row r="2" customFormat="false" ht="15" hidden="false" customHeight="false" outlineLevel="0" collapsed="false">
      <c r="A2" s="3" t="s">
        <v>1</v>
      </c>
      <c r="B2" s="2" t="s">
        <v>2</v>
      </c>
    </row>
    <row r="3" customFormat="false" ht="23.85" hidden="false" customHeight="false" outlineLevel="0" collapsed="false">
      <c r="A3" s="3" t="s">
        <v>3</v>
      </c>
      <c r="B3" s="2" t="s">
        <v>4</v>
      </c>
    </row>
    <row r="4" customFormat="false" ht="15" hidden="false" customHeight="false" outlineLevel="0" collapsed="false">
      <c r="A4" s="3" t="s">
        <v>5</v>
      </c>
      <c r="B4" s="2" t="s">
        <v>6</v>
      </c>
    </row>
    <row r="5" customFormat="false" ht="23.85" hidden="false" customHeight="false" outlineLevel="0" collapsed="false">
      <c r="A5" s="3" t="s">
        <v>7</v>
      </c>
      <c r="B5" s="2" t="s">
        <v>8</v>
      </c>
    </row>
    <row r="6" customFormat="false" ht="23.85" hidden="false" customHeight="false" outlineLevel="0" collapsed="false">
      <c r="A6" s="3" t="s">
        <v>9</v>
      </c>
      <c r="B6" s="2" t="s">
        <v>10</v>
      </c>
    </row>
    <row r="7" customFormat="false" ht="15" hidden="false" customHeight="false" outlineLevel="0" collapsed="false">
      <c r="A7" s="4" t="s">
        <v>11</v>
      </c>
      <c r="B7" s="2" t="s">
        <v>12</v>
      </c>
    </row>
    <row r="8" customFormat="false" ht="15" hidden="false" customHeight="false" outlineLevel="0" collapsed="false">
      <c r="A8" s="5" t="s">
        <v>13</v>
      </c>
      <c r="B8" s="2" t="s">
        <v>14</v>
      </c>
    </row>
    <row r="9" customFormat="false" ht="15" hidden="false" customHeight="false" outlineLevel="0" collapsed="false">
      <c r="A9" s="6" t="s">
        <v>15</v>
      </c>
      <c r="B9" s="2" t="s">
        <v>16</v>
      </c>
    </row>
    <row r="10" customFormat="false" ht="15" hidden="false" customHeight="false" outlineLevel="0" collapsed="false">
      <c r="A10" s="7" t="s">
        <v>17</v>
      </c>
      <c r="B10" s="2" t="s">
        <v>18</v>
      </c>
    </row>
    <row r="11" customFormat="false" ht="15" hidden="false" customHeight="false" outlineLevel="0" collapsed="false">
      <c r="A11" s="8" t="s">
        <v>19</v>
      </c>
      <c r="B11" s="2" t="s">
        <v>20</v>
      </c>
    </row>
    <row r="12" customFormat="false" ht="46.25" hidden="false" customHeight="false" outlineLevel="0" collapsed="false">
      <c r="A12" s="3" t="s">
        <v>21</v>
      </c>
      <c r="B12" s="2" t="s">
        <v>22</v>
      </c>
    </row>
    <row r="13" customFormat="false" ht="35.05" hidden="false" customHeight="false" outlineLevel="0" collapsed="false">
      <c r="A13" s="3" t="s">
        <v>23</v>
      </c>
      <c r="B13" s="2" t="s">
        <v>24</v>
      </c>
    </row>
    <row r="14" customFormat="false" ht="23.85" hidden="false" customHeight="false" outlineLevel="0" collapsed="false">
      <c r="A14" s="3" t="s">
        <v>25</v>
      </c>
      <c r="B14" s="2" t="s">
        <v>26</v>
      </c>
    </row>
    <row r="15" customFormat="false" ht="15" hidden="false" customHeight="false" outlineLevel="0" collapsed="false">
      <c r="A15" s="3" t="s">
        <v>27</v>
      </c>
      <c r="B15" s="2"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40"/>
    <col collapsed="false" customWidth="true" hidden="false" outlineLevel="0" max="4" min="4" style="0" width="52"/>
  </cols>
  <sheetData>
    <row r="1" customFormat="false" ht="15" hidden="false" customHeight="false" outlineLevel="0" collapsed="false">
      <c r="A1" s="9" t="s">
        <v>29</v>
      </c>
      <c r="B1" s="9" t="s">
        <v>30</v>
      </c>
      <c r="C1" s="9" t="s">
        <v>31</v>
      </c>
      <c r="D1" s="9" t="s">
        <v>32</v>
      </c>
    </row>
    <row r="2" customFormat="false" ht="15" hidden="false" customHeight="false" outlineLevel="0" collapsed="false">
      <c r="A2" s="10" t="s">
        <v>33</v>
      </c>
      <c r="B2" s="10" t="s">
        <v>34</v>
      </c>
      <c r="C2" s="11" t="s">
        <v>35</v>
      </c>
      <c r="D2" s="10" t="s">
        <v>36</v>
      </c>
    </row>
    <row r="3" customFormat="false" ht="15" hidden="false" customHeight="false" outlineLevel="0" collapsed="false">
      <c r="A3" s="10" t="s">
        <v>37</v>
      </c>
      <c r="B3" s="10" t="s">
        <v>34</v>
      </c>
      <c r="C3" s="11" t="s">
        <v>38</v>
      </c>
      <c r="D3" s="10" t="s">
        <v>39</v>
      </c>
    </row>
    <row r="4" customFormat="false" ht="15" hidden="false" customHeight="false" outlineLevel="0" collapsed="false">
      <c r="A4" s="10" t="s">
        <v>40</v>
      </c>
      <c r="B4" s="10" t="s">
        <v>34</v>
      </c>
      <c r="C4" s="11" t="s">
        <v>41</v>
      </c>
      <c r="D4" s="10" t="s">
        <v>42</v>
      </c>
    </row>
    <row r="5" customFormat="false" ht="15" hidden="false" customHeight="false" outlineLevel="0" collapsed="false">
      <c r="A5" s="10" t="s">
        <v>43</v>
      </c>
      <c r="B5" s="10" t="s">
        <v>34</v>
      </c>
      <c r="C5" s="11" t="s">
        <v>44</v>
      </c>
      <c r="D5" s="10" t="s">
        <v>45</v>
      </c>
    </row>
    <row r="6" customFormat="false" ht="15" hidden="false" customHeight="false" outlineLevel="0" collapsed="false">
      <c r="A6" s="10" t="s">
        <v>46</v>
      </c>
      <c r="B6" s="10" t="s">
        <v>34</v>
      </c>
      <c r="C6" s="11" t="s">
        <v>47</v>
      </c>
      <c r="D6" s="10" t="s">
        <v>48</v>
      </c>
    </row>
    <row r="7" customFormat="false" ht="15" hidden="false" customHeight="false" outlineLevel="0" collapsed="false">
      <c r="A7" s="10" t="s">
        <v>49</v>
      </c>
      <c r="B7" s="10" t="s">
        <v>34</v>
      </c>
      <c r="C7" s="11" t="s">
        <v>50</v>
      </c>
      <c r="D7" s="10" t="s">
        <v>51</v>
      </c>
    </row>
    <row r="8" customFormat="false" ht="15" hidden="false" customHeight="false" outlineLevel="0" collapsed="false">
      <c r="A8" s="10" t="s">
        <v>52</v>
      </c>
      <c r="B8" s="10" t="s">
        <v>34</v>
      </c>
      <c r="C8" s="11" t="s">
        <v>53</v>
      </c>
      <c r="D8" s="10" t="s">
        <v>54</v>
      </c>
    </row>
    <row r="9" customFormat="false" ht="15" hidden="false" customHeight="false" outlineLevel="0" collapsed="false">
      <c r="A9" s="10" t="s">
        <v>55</v>
      </c>
      <c r="B9" s="10" t="s">
        <v>34</v>
      </c>
      <c r="C9" s="11" t="s">
        <v>56</v>
      </c>
      <c r="D9" s="10" t="s">
        <v>57</v>
      </c>
    </row>
    <row r="10" customFormat="false" ht="15" hidden="false" customHeight="false" outlineLevel="0" collapsed="false">
      <c r="A10" s="10" t="s">
        <v>58</v>
      </c>
      <c r="B10" s="10" t="s">
        <v>34</v>
      </c>
      <c r="C10" s="11" t="s">
        <v>59</v>
      </c>
      <c r="D10" s="10" t="s">
        <v>60</v>
      </c>
    </row>
    <row r="11" customFormat="false" ht="15" hidden="false" customHeight="false" outlineLevel="0" collapsed="false">
      <c r="A11" s="10" t="s">
        <v>61</v>
      </c>
      <c r="B11" s="10" t="s">
        <v>62</v>
      </c>
      <c r="C11" s="11" t="s">
        <v>63</v>
      </c>
      <c r="D11" s="10" t="s">
        <v>64</v>
      </c>
    </row>
    <row r="12" customFormat="false" ht="15" hidden="false" customHeight="false" outlineLevel="0" collapsed="false">
      <c r="A12" s="10" t="s">
        <v>65</v>
      </c>
      <c r="B12" s="10" t="s">
        <v>62</v>
      </c>
      <c r="C12" s="11" t="s">
        <v>66</v>
      </c>
      <c r="D12" s="10" t="s">
        <v>67</v>
      </c>
    </row>
    <row r="13" customFormat="false" ht="15" hidden="false" customHeight="false" outlineLevel="0" collapsed="false">
      <c r="A13" s="10" t="s">
        <v>68</v>
      </c>
      <c r="B13" s="10" t="s">
        <v>62</v>
      </c>
      <c r="C13" s="11" t="s">
        <v>69</v>
      </c>
      <c r="D13" s="10" t="s">
        <v>70</v>
      </c>
    </row>
    <row r="14" customFormat="false" ht="15" hidden="false" customHeight="false" outlineLevel="0" collapsed="false">
      <c r="A14" s="10" t="s">
        <v>71</v>
      </c>
      <c r="B14" s="10" t="s">
        <v>62</v>
      </c>
      <c r="C14" s="11" t="s">
        <v>72</v>
      </c>
      <c r="D14" s="10" t="s">
        <v>73</v>
      </c>
    </row>
    <row r="15" customFormat="false" ht="15" hidden="false" customHeight="false" outlineLevel="0" collapsed="false">
      <c r="A15" s="10" t="s">
        <v>74</v>
      </c>
      <c r="B15" s="10" t="s">
        <v>62</v>
      </c>
      <c r="C15" s="11" t="s">
        <v>75</v>
      </c>
      <c r="D15" s="10" t="s">
        <v>76</v>
      </c>
    </row>
    <row r="16" customFormat="false" ht="15" hidden="false" customHeight="false" outlineLevel="0" collapsed="false">
      <c r="A16" s="10" t="s">
        <v>77</v>
      </c>
      <c r="B16" s="10" t="s">
        <v>62</v>
      </c>
      <c r="C16" s="11" t="s">
        <v>78</v>
      </c>
      <c r="D16" s="10" t="s">
        <v>79</v>
      </c>
    </row>
    <row r="17" customFormat="false" ht="15" hidden="false" customHeight="false" outlineLevel="0" collapsed="false">
      <c r="A17" s="10" t="s">
        <v>80</v>
      </c>
      <c r="B17" s="10" t="s">
        <v>62</v>
      </c>
      <c r="C17" s="11" t="s">
        <v>81</v>
      </c>
      <c r="D17" s="10" t="s">
        <v>82</v>
      </c>
    </row>
    <row r="18" customFormat="false" ht="15" hidden="false" customHeight="false" outlineLevel="0" collapsed="false">
      <c r="A18" s="10" t="s">
        <v>83</v>
      </c>
      <c r="B18" s="10" t="s">
        <v>84</v>
      </c>
      <c r="C18" s="11" t="s">
        <v>85</v>
      </c>
      <c r="D18" s="10" t="s">
        <v>86</v>
      </c>
    </row>
    <row r="19" customFormat="false" ht="15" hidden="false" customHeight="false" outlineLevel="0" collapsed="false">
      <c r="A19" s="10" t="s">
        <v>87</v>
      </c>
      <c r="B19" s="10" t="s">
        <v>84</v>
      </c>
      <c r="C19" s="11" t="s">
        <v>88</v>
      </c>
      <c r="D19" s="10" t="s">
        <v>89</v>
      </c>
    </row>
    <row r="20" customFormat="false" ht="15" hidden="false" customHeight="false" outlineLevel="0" collapsed="false">
      <c r="A20" s="10" t="s">
        <v>90</v>
      </c>
      <c r="B20" s="10" t="s">
        <v>84</v>
      </c>
      <c r="C20" s="11" t="s">
        <v>91</v>
      </c>
      <c r="D20" s="10" t="s">
        <v>92</v>
      </c>
    </row>
    <row r="21" customFormat="false" ht="15" hidden="false" customHeight="false" outlineLevel="0" collapsed="false">
      <c r="A21" s="10" t="s">
        <v>93</v>
      </c>
      <c r="B21" s="10" t="s">
        <v>84</v>
      </c>
      <c r="C21" s="11" t="s">
        <v>94</v>
      </c>
      <c r="D21" s="10" t="s">
        <v>95</v>
      </c>
    </row>
    <row r="22" customFormat="false" ht="15" hidden="false" customHeight="false" outlineLevel="0" collapsed="false">
      <c r="A22" s="10" t="s">
        <v>96</v>
      </c>
      <c r="B22" s="10" t="s">
        <v>97</v>
      </c>
      <c r="C22" s="11" t="s">
        <v>98</v>
      </c>
      <c r="D22" s="10" t="s">
        <v>99</v>
      </c>
    </row>
    <row r="23" customFormat="false" ht="15" hidden="false" customHeight="false" outlineLevel="0" collapsed="false">
      <c r="A23" s="10" t="s">
        <v>100</v>
      </c>
      <c r="B23" s="10" t="s">
        <v>97</v>
      </c>
      <c r="C23" s="11" t="s">
        <v>101</v>
      </c>
      <c r="D23" s="10" t="s">
        <v>102</v>
      </c>
    </row>
    <row r="24" customFormat="false" ht="15" hidden="false" customHeight="false" outlineLevel="0" collapsed="false">
      <c r="A24" s="10" t="s">
        <v>103</v>
      </c>
      <c r="B24" s="10" t="s">
        <v>97</v>
      </c>
      <c r="C24" s="11" t="s">
        <v>104</v>
      </c>
      <c r="D24" s="10" t="s">
        <v>105</v>
      </c>
    </row>
    <row r="25" customFormat="false" ht="15" hidden="false" customHeight="false" outlineLevel="0" collapsed="false">
      <c r="A25" s="10" t="s">
        <v>106</v>
      </c>
      <c r="B25" s="10" t="s">
        <v>97</v>
      </c>
      <c r="C25" s="11" t="s">
        <v>107</v>
      </c>
      <c r="D25" s="10" t="s">
        <v>108</v>
      </c>
    </row>
    <row r="27" customFormat="false" ht="15" hidden="false" customHeight="false" outlineLevel="0" collapsed="false">
      <c r="A27" s="12" t="s">
        <v>109</v>
      </c>
      <c r="C27" s="12" t="n">
        <f aca="false">COUNTA(A2:A25)</f>
        <v>24</v>
      </c>
    </row>
    <row r="29" customFormat="false" ht="15" hidden="false" customHeight="false" outlineLevel="0" collapsed="false">
      <c r="A29" s="12" t="s">
        <v>110</v>
      </c>
    </row>
    <row r="30" customFormat="false" ht="23.85" hidden="false" customHeight="false" outlineLevel="0" collapsed="false">
      <c r="A30" s="10" t="s">
        <v>111</v>
      </c>
      <c r="C30" s="11" t="s">
        <v>112</v>
      </c>
      <c r="D30" s="10" t="s">
        <v>113</v>
      </c>
    </row>
    <row r="31" customFormat="false" ht="23.85" hidden="false" customHeight="false" outlineLevel="0" collapsed="false">
      <c r="A31" s="10" t="s">
        <v>111</v>
      </c>
      <c r="C31" s="11" t="s">
        <v>114</v>
      </c>
      <c r="D31" s="10" t="s">
        <v>115</v>
      </c>
    </row>
    <row r="32" customFormat="false" ht="23.85" hidden="false" customHeight="false" outlineLevel="0" collapsed="false">
      <c r="A32" s="10" t="s">
        <v>111</v>
      </c>
      <c r="C32" s="11" t="s">
        <v>116</v>
      </c>
      <c r="D32" s="10" t="s">
        <v>117</v>
      </c>
    </row>
    <row r="33" customFormat="false" ht="23.85" hidden="false" customHeight="false" outlineLevel="0" collapsed="false">
      <c r="A33" s="10" t="s">
        <v>111</v>
      </c>
      <c r="C33" s="11" t="s">
        <v>118</v>
      </c>
      <c r="D33" s="10"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5"/>
    <col collapsed="false" customWidth="true" hidden="false" outlineLevel="0" max="3" min="3" style="0" width="12"/>
    <col collapsed="false" customWidth="true" hidden="false" outlineLevel="0" max="4" min="4" style="0" width="30"/>
    <col collapsed="false" customWidth="true" hidden="false" outlineLevel="0" max="5" min="5" style="0" width="22"/>
    <col collapsed="false" customWidth="true" hidden="false" outlineLevel="0" max="6" min="6" style="0" width="16"/>
    <col collapsed="false" customWidth="true" hidden="false" outlineLevel="0" max="30" min="7" style="0" width="7.5"/>
    <col collapsed="false" customWidth="true" hidden="false" outlineLevel="0" max="32" min="31" style="0" width="10"/>
    <col collapsed="false" customWidth="true" hidden="false" outlineLevel="0" max="33" min="33" style="0" width="9"/>
    <col collapsed="false" customWidth="true" hidden="false" outlineLevel="0" max="34" min="34" style="0" width="11"/>
    <col collapsed="false" customWidth="true" hidden="false" outlineLevel="0" max="35" min="35" style="0" width="9"/>
    <col collapsed="false" customWidth="true" hidden="false" outlineLevel="0" max="36" min="36" style="0" width="11"/>
    <col collapsed="false" customWidth="true" hidden="false" outlineLevel="0" max="37" min="37" style="0" width="13"/>
    <col collapsed="false" customWidth="true" hidden="false" outlineLevel="0" max="38" min="38" style="0" width="24"/>
    <col collapsed="false" customWidth="true" hidden="false" outlineLevel="0" max="39" min="39" style="0" width="70"/>
  </cols>
  <sheetData>
    <row r="1" customFormat="false" ht="90" hidden="false" customHeight="true" outlineLevel="0" collapsed="false">
      <c r="A1" s="9" t="s">
        <v>120</v>
      </c>
      <c r="B1" s="9" t="s">
        <v>121</v>
      </c>
      <c r="C1" s="9" t="s">
        <v>122</v>
      </c>
      <c r="D1" s="9" t="s">
        <v>123</v>
      </c>
      <c r="E1" s="9" t="s">
        <v>124</v>
      </c>
      <c r="F1" s="9" t="s">
        <v>125</v>
      </c>
      <c r="G1" s="13" t="s">
        <v>126</v>
      </c>
      <c r="H1" s="13" t="s">
        <v>127</v>
      </c>
      <c r="I1" s="13" t="s">
        <v>128</v>
      </c>
      <c r="J1" s="13" t="s">
        <v>129</v>
      </c>
      <c r="K1" s="13" t="s">
        <v>130</v>
      </c>
      <c r="L1" s="13" t="s">
        <v>131</v>
      </c>
      <c r="M1" s="13" t="s">
        <v>132</v>
      </c>
      <c r="N1" s="13" t="s">
        <v>133</v>
      </c>
      <c r="O1" s="13" t="s">
        <v>134</v>
      </c>
      <c r="P1" s="13" t="s">
        <v>135</v>
      </c>
      <c r="Q1" s="13" t="s">
        <v>136</v>
      </c>
      <c r="R1" s="13" t="s">
        <v>137</v>
      </c>
      <c r="S1" s="13" t="s">
        <v>138</v>
      </c>
      <c r="T1" s="13" t="s">
        <v>139</v>
      </c>
      <c r="U1" s="13" t="s">
        <v>140</v>
      </c>
      <c r="V1" s="13" t="s">
        <v>141</v>
      </c>
      <c r="W1" s="13" t="s">
        <v>142</v>
      </c>
      <c r="X1" s="13" t="s">
        <v>143</v>
      </c>
      <c r="Y1" s="13" t="s">
        <v>144</v>
      </c>
      <c r="Z1" s="13" t="s">
        <v>145</v>
      </c>
      <c r="AA1" s="13" t="s">
        <v>146</v>
      </c>
      <c r="AB1" s="13" t="s">
        <v>147</v>
      </c>
      <c r="AC1" s="13" t="s">
        <v>148</v>
      </c>
      <c r="AD1" s="13" t="s">
        <v>149</v>
      </c>
      <c r="AE1" s="9" t="s">
        <v>150</v>
      </c>
      <c r="AF1" s="9" t="s">
        <v>151</v>
      </c>
      <c r="AG1" s="9" t="s">
        <v>152</v>
      </c>
      <c r="AH1" s="9" t="s">
        <v>153</v>
      </c>
      <c r="AI1" s="9" t="s">
        <v>154</v>
      </c>
      <c r="AJ1" s="9" t="s">
        <v>155</v>
      </c>
      <c r="AK1" s="9" t="s">
        <v>156</v>
      </c>
      <c r="AL1" s="9" t="s">
        <v>157</v>
      </c>
      <c r="AM1" s="9" t="s">
        <v>158</v>
      </c>
    </row>
    <row r="2" customFormat="false" ht="30" hidden="false" customHeight="true" outlineLevel="0" collapsed="false">
      <c r="A2" s="10" t="s">
        <v>159</v>
      </c>
      <c r="B2" s="10" t="s">
        <v>160</v>
      </c>
      <c r="C2" s="11" t="s">
        <v>161</v>
      </c>
      <c r="D2" s="10" t="s">
        <v>162</v>
      </c>
      <c r="E2" s="10" t="s">
        <v>163</v>
      </c>
      <c r="F2" s="10" t="s">
        <v>164</v>
      </c>
      <c r="G2" s="14" t="s">
        <v>165</v>
      </c>
      <c r="H2" s="14" t="s">
        <v>166</v>
      </c>
      <c r="I2" s="14" t="s">
        <v>166</v>
      </c>
      <c r="J2" s="14" t="s">
        <v>167</v>
      </c>
      <c r="K2" s="14" t="s">
        <v>166</v>
      </c>
      <c r="L2" s="14" t="s">
        <v>167</v>
      </c>
      <c r="M2" s="14" t="s">
        <v>167</v>
      </c>
      <c r="N2" s="14" t="s">
        <v>166</v>
      </c>
      <c r="O2" s="14" t="s">
        <v>167</v>
      </c>
      <c r="P2" s="14" t="s">
        <v>167</v>
      </c>
      <c r="Q2" s="14" t="s">
        <v>167</v>
      </c>
      <c r="R2" s="14" t="s">
        <v>167</v>
      </c>
      <c r="S2" s="14" t="s">
        <v>166</v>
      </c>
      <c r="T2" s="14" t="s">
        <v>167</v>
      </c>
      <c r="U2" s="14" t="s">
        <v>168</v>
      </c>
      <c r="V2" s="14" t="s">
        <v>168</v>
      </c>
      <c r="W2" s="14" t="s">
        <v>167</v>
      </c>
      <c r="X2" s="14" t="s">
        <v>167</v>
      </c>
      <c r="Y2" s="14" t="s">
        <v>166</v>
      </c>
      <c r="Z2" s="14" t="s">
        <v>167</v>
      </c>
      <c r="AA2" s="14" t="s">
        <v>168</v>
      </c>
      <c r="AB2" s="14" t="s">
        <v>166</v>
      </c>
      <c r="AC2" s="14" t="s">
        <v>166</v>
      </c>
      <c r="AD2" s="14" t="s">
        <v>166</v>
      </c>
      <c r="AE2" s="15" t="n">
        <f aca="false">COUNTIF(G2:AD2,"Y")+COUNTIF(G2:AD2,"R")</f>
        <v>12</v>
      </c>
      <c r="AF2" s="15" t="n">
        <f aca="false">COUNTIF(G2:AD2,"M")</f>
        <v>3</v>
      </c>
      <c r="AG2" s="15" t="n">
        <f aca="false">COUNTIF(G2:AD2,"N")</f>
        <v>0</v>
      </c>
      <c r="AH2" s="15" t="n">
        <f aca="false">COUNTIF(G2:AD2,"U")</f>
        <v>9</v>
      </c>
      <c r="AI2" s="15" t="n">
        <f aca="false">Checklist!$C$27</f>
        <v>24</v>
      </c>
      <c r="AJ2" s="16" t="n">
        <f aca="false">IF(AI2=0,0,AE2/AI2)</f>
        <v>0.5</v>
      </c>
      <c r="AK2" s="17" t="n">
        <f aca="false">IF(AI2=0,0,(AE2+AF2)/AI2)</f>
        <v>0.625</v>
      </c>
      <c r="AL2" s="18" t="str">
        <f aca="false">IF(AJ2&gt;=1,"100% – Complete",IF(AJ2&gt;=0.75,"75% band (75–99%)",IF(AJ2&gt;=0.5,"50% band (50–74%)",IF(AJ2&gt;=0.25,"25% band (25–49%)","Below 25%"))))</f>
        <v>50% band (50–74%)</v>
      </c>
      <c r="AM2" s="10" t="s">
        <v>169</v>
      </c>
    </row>
    <row r="3" customFormat="false" ht="30" hidden="false" customHeight="true" outlineLevel="0" collapsed="false">
      <c r="A3" s="10" t="s">
        <v>159</v>
      </c>
      <c r="B3" s="10" t="s">
        <v>170</v>
      </c>
      <c r="C3" s="11" t="s">
        <v>171</v>
      </c>
      <c r="D3" s="10" t="s">
        <v>172</v>
      </c>
      <c r="E3" s="10" t="s">
        <v>173</v>
      </c>
      <c r="F3" s="10" t="s">
        <v>174</v>
      </c>
      <c r="G3" s="14" t="s">
        <v>165</v>
      </c>
      <c r="H3" s="14" t="s">
        <v>166</v>
      </c>
      <c r="I3" s="14" t="s">
        <v>168</v>
      </c>
      <c r="J3" s="14" t="s">
        <v>167</v>
      </c>
      <c r="K3" s="14" t="s">
        <v>166</v>
      </c>
      <c r="L3" s="14" t="s">
        <v>167</v>
      </c>
      <c r="M3" s="14" t="s">
        <v>168</v>
      </c>
      <c r="N3" s="14" t="s">
        <v>168</v>
      </c>
      <c r="O3" s="14" t="s">
        <v>168</v>
      </c>
      <c r="P3" s="14" t="s">
        <v>167</v>
      </c>
      <c r="Q3" s="14" t="s">
        <v>167</v>
      </c>
      <c r="R3" s="14" t="s">
        <v>168</v>
      </c>
      <c r="S3" s="14" t="s">
        <v>166</v>
      </c>
      <c r="T3" s="14" t="s">
        <v>167</v>
      </c>
      <c r="U3" s="14" t="s">
        <v>167</v>
      </c>
      <c r="V3" s="14" t="s">
        <v>167</v>
      </c>
      <c r="W3" s="14" t="s">
        <v>167</v>
      </c>
      <c r="X3" s="14" t="s">
        <v>168</v>
      </c>
      <c r="Y3" s="14" t="s">
        <v>166</v>
      </c>
      <c r="Z3" s="14" t="s">
        <v>167</v>
      </c>
      <c r="AA3" s="14" t="s">
        <v>168</v>
      </c>
      <c r="AB3" s="14" t="s">
        <v>166</v>
      </c>
      <c r="AC3" s="14" t="s">
        <v>166</v>
      </c>
      <c r="AD3" s="14" t="s">
        <v>166</v>
      </c>
      <c r="AE3" s="15" t="n">
        <f aca="false">COUNTIF(G3:AD3,"Y")+COUNTIF(G3:AD3,"R")</f>
        <v>10</v>
      </c>
      <c r="AF3" s="15" t="n">
        <f aca="false">COUNTIF(G3:AD3,"M")</f>
        <v>7</v>
      </c>
      <c r="AG3" s="15" t="n">
        <f aca="false">COUNTIF(G3:AD3,"N")</f>
        <v>0</v>
      </c>
      <c r="AH3" s="15" t="n">
        <f aca="false">COUNTIF(G3:AD3,"U")</f>
        <v>7</v>
      </c>
      <c r="AI3" s="15" t="n">
        <f aca="false">Checklist!$C$27</f>
        <v>24</v>
      </c>
      <c r="AJ3" s="16" t="n">
        <f aca="false">IF(AI3=0,0,AE3/AI3)</f>
        <v>0.416666666666667</v>
      </c>
      <c r="AK3" s="17" t="n">
        <f aca="false">IF(AI3=0,0,(AE3+AF3)/AI3)</f>
        <v>0.708333333333333</v>
      </c>
      <c r="AL3" s="18" t="str">
        <f aca="false">IF(AJ3&gt;=1,"100% – Complete",IF(AJ3&gt;=0.75,"75% band (75–99%)",IF(AJ3&gt;=0.5,"50% band (50–74%)",IF(AJ3&gt;=0.25,"25% band (25–49%)","Below 25%"))))</f>
        <v>25% band (25–49%)</v>
      </c>
      <c r="AM3" s="10" t="s">
        <v>175</v>
      </c>
    </row>
    <row r="4" customFormat="false" ht="30" hidden="false" customHeight="true" outlineLevel="0" collapsed="false">
      <c r="A4" s="10" t="s">
        <v>159</v>
      </c>
      <c r="B4" s="10" t="s">
        <v>176</v>
      </c>
      <c r="C4" s="11" t="s">
        <v>177</v>
      </c>
      <c r="D4" s="10" t="s">
        <v>178</v>
      </c>
      <c r="E4" s="10" t="s">
        <v>173</v>
      </c>
      <c r="F4" s="10" t="s">
        <v>179</v>
      </c>
      <c r="G4" s="14" t="s">
        <v>167</v>
      </c>
      <c r="H4" s="14" t="s">
        <v>167</v>
      </c>
      <c r="I4" s="14" t="s">
        <v>166</v>
      </c>
      <c r="J4" s="14" t="s">
        <v>167</v>
      </c>
      <c r="K4" s="14" t="s">
        <v>168</v>
      </c>
      <c r="L4" s="14" t="s">
        <v>168</v>
      </c>
      <c r="M4" s="14" t="s">
        <v>168</v>
      </c>
      <c r="N4" s="14" t="s">
        <v>166</v>
      </c>
      <c r="O4" s="14" t="s">
        <v>166</v>
      </c>
      <c r="P4" s="14" t="s">
        <v>166</v>
      </c>
      <c r="Q4" s="14" t="s">
        <v>166</v>
      </c>
      <c r="R4" s="14" t="s">
        <v>166</v>
      </c>
      <c r="S4" s="14" t="s">
        <v>166</v>
      </c>
      <c r="T4" s="14" t="s">
        <v>166</v>
      </c>
      <c r="U4" s="14" t="s">
        <v>166</v>
      </c>
      <c r="V4" s="14" t="s">
        <v>166</v>
      </c>
      <c r="W4" s="14" t="s">
        <v>167</v>
      </c>
      <c r="X4" s="14" t="s">
        <v>166</v>
      </c>
      <c r="Y4" s="14" t="s">
        <v>166</v>
      </c>
      <c r="Z4" s="14" t="s">
        <v>167</v>
      </c>
      <c r="AA4" s="14" t="s">
        <v>166</v>
      </c>
      <c r="AB4" s="14" t="s">
        <v>166</v>
      </c>
      <c r="AC4" s="14" t="s">
        <v>166</v>
      </c>
      <c r="AD4" s="14" t="s">
        <v>166</v>
      </c>
      <c r="AE4" s="15" t="n">
        <f aca="false">COUNTIF(G4:AD4,"Y")+COUNTIF(G4:AD4,"R")</f>
        <v>5</v>
      </c>
      <c r="AF4" s="15" t="n">
        <f aca="false">COUNTIF(G4:AD4,"M")</f>
        <v>3</v>
      </c>
      <c r="AG4" s="15" t="n">
        <f aca="false">COUNTIF(G4:AD4,"N")</f>
        <v>0</v>
      </c>
      <c r="AH4" s="15" t="n">
        <f aca="false">COUNTIF(G4:AD4,"U")</f>
        <v>16</v>
      </c>
      <c r="AI4" s="15" t="n">
        <f aca="false">Checklist!$C$27</f>
        <v>24</v>
      </c>
      <c r="AJ4" s="16" t="n">
        <f aca="false">IF(AI4=0,0,AE4/AI4)</f>
        <v>0.208333333333333</v>
      </c>
      <c r="AK4" s="17" t="n">
        <f aca="false">IF(AI4=0,0,(AE4+AF4)/AI4)</f>
        <v>0.333333333333333</v>
      </c>
      <c r="AL4" s="18" t="str">
        <f aca="false">IF(AJ4&gt;=1,"100% – Complete",IF(AJ4&gt;=0.75,"75% band (75–99%)",IF(AJ4&gt;=0.5,"50% band (50–74%)",IF(AJ4&gt;=0.25,"25% band (25–49%)","Below 25%"))))</f>
        <v>Below 25%</v>
      </c>
      <c r="AM4" s="10" t="s">
        <v>180</v>
      </c>
    </row>
    <row r="5" customFormat="false" ht="30" hidden="false" customHeight="true" outlineLevel="0" collapsed="false">
      <c r="A5" s="10" t="s">
        <v>159</v>
      </c>
      <c r="B5" s="10" t="s">
        <v>181</v>
      </c>
      <c r="C5" s="11" t="s">
        <v>182</v>
      </c>
      <c r="D5" s="10" t="s">
        <v>183</v>
      </c>
      <c r="E5" s="10" t="s">
        <v>184</v>
      </c>
      <c r="F5" s="10" t="s">
        <v>179</v>
      </c>
      <c r="G5" s="14" t="s">
        <v>167</v>
      </c>
      <c r="H5" s="14" t="s">
        <v>167</v>
      </c>
      <c r="I5" s="14" t="s">
        <v>167</v>
      </c>
      <c r="J5" s="14" t="s">
        <v>167</v>
      </c>
      <c r="K5" s="14" t="s">
        <v>166</v>
      </c>
      <c r="L5" s="14" t="s">
        <v>166</v>
      </c>
      <c r="M5" s="14" t="s">
        <v>167</v>
      </c>
      <c r="N5" s="14" t="s">
        <v>166</v>
      </c>
      <c r="O5" s="14" t="s">
        <v>166</v>
      </c>
      <c r="P5" s="14" t="s">
        <v>166</v>
      </c>
      <c r="Q5" s="14" t="s">
        <v>166</v>
      </c>
      <c r="R5" s="14" t="s">
        <v>166</v>
      </c>
      <c r="S5" s="14" t="s">
        <v>166</v>
      </c>
      <c r="T5" s="14" t="s">
        <v>166</v>
      </c>
      <c r="U5" s="14" t="s">
        <v>166</v>
      </c>
      <c r="V5" s="14" t="s">
        <v>166</v>
      </c>
      <c r="W5" s="14" t="s">
        <v>167</v>
      </c>
      <c r="X5" s="14" t="s">
        <v>167</v>
      </c>
      <c r="Y5" s="14" t="s">
        <v>167</v>
      </c>
      <c r="Z5" s="14" t="s">
        <v>167</v>
      </c>
      <c r="AA5" s="14" t="s">
        <v>166</v>
      </c>
      <c r="AB5" s="14" t="s">
        <v>166</v>
      </c>
      <c r="AC5" s="14" t="s">
        <v>166</v>
      </c>
      <c r="AD5" s="14" t="s">
        <v>166</v>
      </c>
      <c r="AE5" s="15" t="n">
        <f aca="false">COUNTIF(G5:AD5,"Y")+COUNTIF(G5:AD5,"R")</f>
        <v>9</v>
      </c>
      <c r="AF5" s="15" t="n">
        <f aca="false">COUNTIF(G5:AD5,"M")</f>
        <v>0</v>
      </c>
      <c r="AG5" s="15" t="n">
        <f aca="false">COUNTIF(G5:AD5,"N")</f>
        <v>0</v>
      </c>
      <c r="AH5" s="15" t="n">
        <f aca="false">COUNTIF(G5:AD5,"U")</f>
        <v>15</v>
      </c>
      <c r="AI5" s="15" t="n">
        <f aca="false">Checklist!$C$27</f>
        <v>24</v>
      </c>
      <c r="AJ5" s="16" t="n">
        <f aca="false">IF(AI5=0,0,AE5/AI5)</f>
        <v>0.375</v>
      </c>
      <c r="AK5" s="17" t="n">
        <f aca="false">IF(AI5=0,0,(AE5+AF5)/AI5)</f>
        <v>0.375</v>
      </c>
      <c r="AL5" s="18" t="str">
        <f aca="false">IF(AJ5&gt;=1,"100% – Complete",IF(AJ5&gt;=0.75,"75% band (75–99%)",IF(AJ5&gt;=0.5,"50% band (50–74%)",IF(AJ5&gt;=0.25,"25% band (25–49%)","Below 25%"))))</f>
        <v>25% band (25–49%)</v>
      </c>
      <c r="AM5" s="10" t="s">
        <v>185</v>
      </c>
    </row>
    <row r="6" customFormat="false" ht="30" hidden="false" customHeight="true" outlineLevel="0" collapsed="false">
      <c r="A6" s="10" t="s">
        <v>159</v>
      </c>
      <c r="B6" s="10" t="s">
        <v>181</v>
      </c>
      <c r="C6" s="11" t="s">
        <v>186</v>
      </c>
      <c r="D6" s="10" t="s">
        <v>187</v>
      </c>
      <c r="E6" s="10" t="s">
        <v>173</v>
      </c>
      <c r="F6" s="10" t="s">
        <v>188</v>
      </c>
      <c r="G6" s="14" t="s">
        <v>167</v>
      </c>
      <c r="H6" s="14" t="s">
        <v>167</v>
      </c>
      <c r="I6" s="14" t="s">
        <v>166</v>
      </c>
      <c r="J6" s="14" t="s">
        <v>167</v>
      </c>
      <c r="K6" s="14" t="s">
        <v>166</v>
      </c>
      <c r="L6" s="14" t="s">
        <v>166</v>
      </c>
      <c r="M6" s="14" t="s">
        <v>168</v>
      </c>
      <c r="N6" s="14" t="s">
        <v>166</v>
      </c>
      <c r="O6" s="14" t="s">
        <v>166</v>
      </c>
      <c r="P6" s="14" t="s">
        <v>166</v>
      </c>
      <c r="Q6" s="14" t="s">
        <v>166</v>
      </c>
      <c r="R6" s="14" t="s">
        <v>166</v>
      </c>
      <c r="S6" s="14" t="s">
        <v>166</v>
      </c>
      <c r="T6" s="14" t="s">
        <v>166</v>
      </c>
      <c r="U6" s="14" t="s">
        <v>166</v>
      </c>
      <c r="V6" s="14" t="s">
        <v>166</v>
      </c>
      <c r="W6" s="14" t="s">
        <v>167</v>
      </c>
      <c r="X6" s="14" t="s">
        <v>166</v>
      </c>
      <c r="Y6" s="14" t="s">
        <v>166</v>
      </c>
      <c r="Z6" s="14" t="s">
        <v>166</v>
      </c>
      <c r="AA6" s="14" t="s">
        <v>166</v>
      </c>
      <c r="AB6" s="14" t="s">
        <v>166</v>
      </c>
      <c r="AC6" s="14" t="s">
        <v>166</v>
      </c>
      <c r="AD6" s="14" t="s">
        <v>166</v>
      </c>
      <c r="AE6" s="15" t="n">
        <f aca="false">COUNTIF(G6:AD6,"Y")+COUNTIF(G6:AD6,"R")</f>
        <v>4</v>
      </c>
      <c r="AF6" s="15" t="n">
        <f aca="false">COUNTIF(G6:AD6,"M")</f>
        <v>1</v>
      </c>
      <c r="AG6" s="15" t="n">
        <f aca="false">COUNTIF(G6:AD6,"N")</f>
        <v>0</v>
      </c>
      <c r="AH6" s="15" t="n">
        <f aca="false">COUNTIF(G6:AD6,"U")</f>
        <v>19</v>
      </c>
      <c r="AI6" s="15" t="n">
        <f aca="false">Checklist!$C$27</f>
        <v>24</v>
      </c>
      <c r="AJ6" s="16" t="n">
        <f aca="false">IF(AI6=0,0,AE6/AI6)</f>
        <v>0.166666666666667</v>
      </c>
      <c r="AK6" s="17" t="n">
        <f aca="false">IF(AI6=0,0,(AE6+AF6)/AI6)</f>
        <v>0.208333333333333</v>
      </c>
      <c r="AL6" s="18" t="str">
        <f aca="false">IF(AJ6&gt;=1,"100% – Complete",IF(AJ6&gt;=0.75,"75% band (75–99%)",IF(AJ6&gt;=0.5,"50% band (50–74%)",IF(AJ6&gt;=0.25,"25% band (25–49%)","Below 25%"))))</f>
        <v>Below 25%</v>
      </c>
      <c r="AM6" s="10" t="s">
        <v>189</v>
      </c>
    </row>
    <row r="7" customFormat="false" ht="30" hidden="false" customHeight="true" outlineLevel="0" collapsed="false">
      <c r="A7" s="10" t="s">
        <v>190</v>
      </c>
      <c r="B7" s="10" t="s">
        <v>191</v>
      </c>
      <c r="C7" s="11" t="s">
        <v>192</v>
      </c>
      <c r="D7" s="10" t="s">
        <v>193</v>
      </c>
      <c r="E7" s="10" t="s">
        <v>194</v>
      </c>
      <c r="F7" s="10" t="s">
        <v>195</v>
      </c>
      <c r="G7" s="14" t="s">
        <v>166</v>
      </c>
      <c r="H7" s="14" t="s">
        <v>166</v>
      </c>
      <c r="I7" s="14" t="s">
        <v>166</v>
      </c>
      <c r="J7" s="14" t="s">
        <v>166</v>
      </c>
      <c r="K7" s="14" t="s">
        <v>166</v>
      </c>
      <c r="L7" s="14" t="s">
        <v>166</v>
      </c>
      <c r="M7" s="14" t="s">
        <v>167</v>
      </c>
      <c r="N7" s="14" t="s">
        <v>167</v>
      </c>
      <c r="O7" s="14" t="s">
        <v>166</v>
      </c>
      <c r="P7" s="14" t="s">
        <v>167</v>
      </c>
      <c r="Q7" s="14" t="s">
        <v>167</v>
      </c>
      <c r="R7" s="14" t="s">
        <v>167</v>
      </c>
      <c r="S7" s="14" t="s">
        <v>168</v>
      </c>
      <c r="T7" s="14" t="s">
        <v>168</v>
      </c>
      <c r="U7" s="14" t="s">
        <v>168</v>
      </c>
      <c r="V7" s="14" t="s">
        <v>168</v>
      </c>
      <c r="W7" s="14" t="s">
        <v>168</v>
      </c>
      <c r="X7" s="14" t="s">
        <v>168</v>
      </c>
      <c r="Y7" s="14" t="s">
        <v>166</v>
      </c>
      <c r="Z7" s="14" t="s">
        <v>166</v>
      </c>
      <c r="AA7" s="14" t="s">
        <v>166</v>
      </c>
      <c r="AB7" s="14" t="s">
        <v>166</v>
      </c>
      <c r="AC7" s="14" t="s">
        <v>166</v>
      </c>
      <c r="AD7" s="14" t="s">
        <v>166</v>
      </c>
      <c r="AE7" s="15" t="n">
        <f aca="false">COUNTIF(G7:AD7,"Y")+COUNTIF(G7:AD7,"R")</f>
        <v>5</v>
      </c>
      <c r="AF7" s="15" t="n">
        <f aca="false">COUNTIF(G7:AD7,"M")</f>
        <v>6</v>
      </c>
      <c r="AG7" s="15" t="n">
        <f aca="false">COUNTIF(G7:AD7,"N")</f>
        <v>0</v>
      </c>
      <c r="AH7" s="15" t="n">
        <f aca="false">COUNTIF(G7:AD7,"U")</f>
        <v>13</v>
      </c>
      <c r="AI7" s="15" t="n">
        <f aca="false">Checklist!$C$27</f>
        <v>24</v>
      </c>
      <c r="AJ7" s="16" t="n">
        <f aca="false">IF(AI7=0,0,AE7/AI7)</f>
        <v>0.208333333333333</v>
      </c>
      <c r="AK7" s="17" t="n">
        <f aca="false">IF(AI7=0,0,(AE7+AF7)/AI7)</f>
        <v>0.458333333333333</v>
      </c>
      <c r="AL7" s="18" t="str">
        <f aca="false">IF(AJ7&gt;=1,"100% – Complete",IF(AJ7&gt;=0.75,"75% band (75–99%)",IF(AJ7&gt;=0.5,"50% band (50–74%)",IF(AJ7&gt;=0.25,"25% band (25–49%)","Below 25%"))))</f>
        <v>Below 25%</v>
      </c>
      <c r="AM7" s="10" t="s">
        <v>196</v>
      </c>
    </row>
    <row r="8" customFormat="false" ht="30" hidden="false" customHeight="true" outlineLevel="0" collapsed="false">
      <c r="A8" s="10" t="s">
        <v>197</v>
      </c>
      <c r="B8" s="10" t="s">
        <v>160</v>
      </c>
      <c r="C8" s="11" t="s">
        <v>198</v>
      </c>
      <c r="D8" s="10" t="s">
        <v>199</v>
      </c>
      <c r="E8" s="10" t="s">
        <v>200</v>
      </c>
      <c r="F8" s="10" t="s">
        <v>174</v>
      </c>
      <c r="G8" s="14" t="s">
        <v>167</v>
      </c>
      <c r="H8" s="14" t="s">
        <v>166</v>
      </c>
      <c r="I8" s="14" t="s">
        <v>167</v>
      </c>
      <c r="J8" s="14" t="s">
        <v>167</v>
      </c>
      <c r="K8" s="14" t="s">
        <v>167</v>
      </c>
      <c r="L8" s="14" t="s">
        <v>167</v>
      </c>
      <c r="M8" s="14" t="s">
        <v>167</v>
      </c>
      <c r="N8" s="14" t="s">
        <v>166</v>
      </c>
      <c r="O8" s="14" t="s">
        <v>167</v>
      </c>
      <c r="P8" s="14" t="s">
        <v>166</v>
      </c>
      <c r="Q8" s="14" t="s">
        <v>166</v>
      </c>
      <c r="R8" s="14" t="s">
        <v>167</v>
      </c>
      <c r="S8" s="14" t="s">
        <v>166</v>
      </c>
      <c r="T8" s="14" t="s">
        <v>167</v>
      </c>
      <c r="U8" s="14" t="s">
        <v>167</v>
      </c>
      <c r="V8" s="14" t="s">
        <v>167</v>
      </c>
      <c r="W8" s="14" t="s">
        <v>167</v>
      </c>
      <c r="X8" s="14" t="s">
        <v>168</v>
      </c>
      <c r="Y8" s="14" t="s">
        <v>168</v>
      </c>
      <c r="Z8" s="14" t="s">
        <v>168</v>
      </c>
      <c r="AA8" s="14" t="s">
        <v>167</v>
      </c>
      <c r="AB8" s="14" t="s">
        <v>166</v>
      </c>
      <c r="AC8" s="14" t="s">
        <v>166</v>
      </c>
      <c r="AD8" s="14" t="s">
        <v>166</v>
      </c>
      <c r="AE8" s="15" t="n">
        <f aca="false">COUNTIF(G8:AD8,"Y")+COUNTIF(G8:AD8,"R")</f>
        <v>13</v>
      </c>
      <c r="AF8" s="15" t="n">
        <f aca="false">COUNTIF(G8:AD8,"M")</f>
        <v>3</v>
      </c>
      <c r="AG8" s="15" t="n">
        <f aca="false">COUNTIF(G8:AD8,"N")</f>
        <v>0</v>
      </c>
      <c r="AH8" s="15" t="n">
        <f aca="false">COUNTIF(G8:AD8,"U")</f>
        <v>8</v>
      </c>
      <c r="AI8" s="15" t="n">
        <f aca="false">Checklist!$C$27</f>
        <v>24</v>
      </c>
      <c r="AJ8" s="16" t="n">
        <f aca="false">IF(AI8=0,0,AE8/AI8)</f>
        <v>0.541666666666667</v>
      </c>
      <c r="AK8" s="17" t="n">
        <f aca="false">IF(AI8=0,0,(AE8+AF8)/AI8)</f>
        <v>0.666666666666667</v>
      </c>
      <c r="AL8" s="18" t="str">
        <f aca="false">IF(AJ8&gt;=1,"100% – Complete",IF(AJ8&gt;=0.75,"75% band (75–99%)",IF(AJ8&gt;=0.5,"50% band (50–74%)",IF(AJ8&gt;=0.25,"25% band (25–49%)","Below 25%"))))</f>
        <v>50% band (50–74%)</v>
      </c>
      <c r="AM8" s="10" t="s">
        <v>201</v>
      </c>
    </row>
    <row r="9" customFormat="false" ht="30" hidden="false" customHeight="true" outlineLevel="0" collapsed="false">
      <c r="A9" s="10" t="s">
        <v>197</v>
      </c>
      <c r="B9" s="10" t="s">
        <v>202</v>
      </c>
      <c r="C9" s="11" t="s">
        <v>203</v>
      </c>
      <c r="D9" s="10" t="s">
        <v>204</v>
      </c>
      <c r="E9" s="10" t="s">
        <v>205</v>
      </c>
      <c r="F9" s="10" t="s">
        <v>174</v>
      </c>
      <c r="G9" s="14" t="s">
        <v>168</v>
      </c>
      <c r="H9" s="14" t="s">
        <v>166</v>
      </c>
      <c r="I9" s="14" t="s">
        <v>166</v>
      </c>
      <c r="J9" s="14" t="s">
        <v>165</v>
      </c>
      <c r="K9" s="14" t="s">
        <v>166</v>
      </c>
      <c r="L9" s="14" t="s">
        <v>167</v>
      </c>
      <c r="M9" s="14" t="s">
        <v>166</v>
      </c>
      <c r="N9" s="14" t="s">
        <v>166</v>
      </c>
      <c r="O9" s="14" t="s">
        <v>166</v>
      </c>
      <c r="P9" s="14" t="s">
        <v>167</v>
      </c>
      <c r="Q9" s="14" t="s">
        <v>167</v>
      </c>
      <c r="R9" s="14" t="s">
        <v>167</v>
      </c>
      <c r="S9" s="14" t="s">
        <v>168</v>
      </c>
      <c r="T9" s="14" t="s">
        <v>167</v>
      </c>
      <c r="U9" s="14" t="s">
        <v>168</v>
      </c>
      <c r="V9" s="14" t="s">
        <v>166</v>
      </c>
      <c r="W9" s="14" t="s">
        <v>168</v>
      </c>
      <c r="X9" s="14" t="s">
        <v>168</v>
      </c>
      <c r="Y9" s="14" t="s">
        <v>166</v>
      </c>
      <c r="Z9" s="14" t="s">
        <v>166</v>
      </c>
      <c r="AA9" s="14" t="s">
        <v>168</v>
      </c>
      <c r="AB9" s="14" t="s">
        <v>166</v>
      </c>
      <c r="AC9" s="14" t="s">
        <v>168</v>
      </c>
      <c r="AD9" s="14" t="s">
        <v>168</v>
      </c>
      <c r="AE9" s="15" t="n">
        <f aca="false">COUNTIF(G9:AD9,"Y")+COUNTIF(G9:AD9,"R")</f>
        <v>6</v>
      </c>
      <c r="AF9" s="15" t="n">
        <f aca="false">COUNTIF(G9:AD9,"M")</f>
        <v>8</v>
      </c>
      <c r="AG9" s="15" t="n">
        <f aca="false">COUNTIF(G9:AD9,"N")</f>
        <v>0</v>
      </c>
      <c r="AH9" s="15" t="n">
        <f aca="false">COUNTIF(G9:AD9,"U")</f>
        <v>10</v>
      </c>
      <c r="AI9" s="15" t="n">
        <f aca="false">Checklist!$C$27</f>
        <v>24</v>
      </c>
      <c r="AJ9" s="16" t="n">
        <f aca="false">IF(AI9=0,0,AE9/AI9)</f>
        <v>0.25</v>
      </c>
      <c r="AK9" s="17" t="n">
        <f aca="false">IF(AI9=0,0,(AE9+AF9)/AI9)</f>
        <v>0.583333333333333</v>
      </c>
      <c r="AL9" s="18" t="str">
        <f aca="false">IF(AJ9&gt;=1,"100% – Complete",IF(AJ9&gt;=0.75,"75% band (75–99%)",IF(AJ9&gt;=0.5,"50% band (50–74%)",IF(AJ9&gt;=0.25,"25% band (25–49%)","Below 25%"))))</f>
        <v>25% band (25–49%)</v>
      </c>
      <c r="AM9" s="10" t="s">
        <v>206</v>
      </c>
    </row>
    <row r="10" customFormat="false" ht="30" hidden="false" customHeight="true" outlineLevel="0" collapsed="false">
      <c r="A10" s="10" t="s">
        <v>190</v>
      </c>
      <c r="B10" s="10" t="s">
        <v>207</v>
      </c>
      <c r="C10" s="11" t="s">
        <v>208</v>
      </c>
      <c r="D10" s="10" t="s">
        <v>209</v>
      </c>
      <c r="E10" s="10" t="s">
        <v>210</v>
      </c>
      <c r="F10" s="10" t="s">
        <v>179</v>
      </c>
      <c r="G10" s="14" t="s">
        <v>167</v>
      </c>
      <c r="H10" s="14" t="s">
        <v>166</v>
      </c>
      <c r="I10" s="14" t="s">
        <v>167</v>
      </c>
      <c r="J10" s="14" t="s">
        <v>167</v>
      </c>
      <c r="K10" s="14" t="s">
        <v>166</v>
      </c>
      <c r="L10" s="14" t="s">
        <v>167</v>
      </c>
      <c r="M10" s="14" t="s">
        <v>167</v>
      </c>
      <c r="N10" s="14" t="s">
        <v>166</v>
      </c>
      <c r="O10" s="14" t="s">
        <v>166</v>
      </c>
      <c r="P10" s="14" t="s">
        <v>166</v>
      </c>
      <c r="Q10" s="14" t="s">
        <v>167</v>
      </c>
      <c r="R10" s="14" t="s">
        <v>211</v>
      </c>
      <c r="S10" s="14" t="s">
        <v>167</v>
      </c>
      <c r="T10" s="14" t="s">
        <v>167</v>
      </c>
      <c r="U10" s="14" t="s">
        <v>211</v>
      </c>
      <c r="V10" s="14" t="s">
        <v>166</v>
      </c>
      <c r="W10" s="14" t="s">
        <v>167</v>
      </c>
      <c r="X10" s="14" t="s">
        <v>166</v>
      </c>
      <c r="Y10" s="14" t="s">
        <v>166</v>
      </c>
      <c r="Z10" s="14" t="s">
        <v>167</v>
      </c>
      <c r="AA10" s="14" t="s">
        <v>167</v>
      </c>
      <c r="AB10" s="14" t="s">
        <v>166</v>
      </c>
      <c r="AC10" s="14" t="s">
        <v>166</v>
      </c>
      <c r="AD10" s="14" t="s">
        <v>166</v>
      </c>
      <c r="AE10" s="15" t="n">
        <f aca="false">COUNTIF(G10:AD10,"Y")+COUNTIF(G10:AD10,"R")</f>
        <v>11</v>
      </c>
      <c r="AF10" s="15" t="n">
        <f aca="false">COUNTIF(G10:AD10,"M")</f>
        <v>0</v>
      </c>
      <c r="AG10" s="15" t="n">
        <f aca="false">COUNTIF(G10:AD10,"N")</f>
        <v>2</v>
      </c>
      <c r="AH10" s="15" t="n">
        <f aca="false">COUNTIF(G10:AD10,"U")</f>
        <v>11</v>
      </c>
      <c r="AI10" s="15" t="n">
        <f aca="false">Checklist!$C$27</f>
        <v>24</v>
      </c>
      <c r="AJ10" s="16" t="n">
        <f aca="false">IF(AI10=0,0,AE10/AI10)</f>
        <v>0.458333333333333</v>
      </c>
      <c r="AK10" s="17" t="n">
        <f aca="false">IF(AI10=0,0,(AE10+AF10)/AI10)</f>
        <v>0.458333333333333</v>
      </c>
      <c r="AL10" s="18" t="str">
        <f aca="false">IF(AJ10&gt;=1,"100% – Complete",IF(AJ10&gt;=0.75,"75% band (75–99%)",IF(AJ10&gt;=0.5,"50% band (50–74%)",IF(AJ10&gt;=0.25,"25% band (25–49%)","Below 25%"))))</f>
        <v>25% band (25–49%)</v>
      </c>
      <c r="AM10" s="10" t="s">
        <v>212</v>
      </c>
    </row>
    <row r="12" customFormat="false" ht="15" hidden="false" customHeight="false" outlineLevel="0" collapsed="false">
      <c r="A12" s="12" t="s">
        <v>213</v>
      </c>
    </row>
    <row r="13" customFormat="false" ht="15" hidden="false" customHeight="false" outlineLevel="0" collapsed="false">
      <c r="A13" s="19" t="s">
        <v>167</v>
      </c>
      <c r="B13" s="20" t="s">
        <v>12</v>
      </c>
    </row>
    <row r="14" customFormat="false" ht="15" hidden="false" customHeight="false" outlineLevel="0" collapsed="false">
      <c r="A14" s="21" t="s">
        <v>165</v>
      </c>
      <c r="B14" s="20" t="s">
        <v>14</v>
      </c>
    </row>
    <row r="15" customFormat="false" ht="15" hidden="false" customHeight="false" outlineLevel="0" collapsed="false">
      <c r="A15" s="22" t="s">
        <v>168</v>
      </c>
      <c r="B15" s="20" t="s">
        <v>16</v>
      </c>
    </row>
    <row r="16" customFormat="false" ht="15" hidden="false" customHeight="false" outlineLevel="0" collapsed="false">
      <c r="A16" s="23" t="s">
        <v>211</v>
      </c>
      <c r="B16" s="20" t="s">
        <v>18</v>
      </c>
    </row>
    <row r="17" customFormat="false" ht="15" hidden="false" customHeight="false" outlineLevel="0" collapsed="false">
      <c r="A17" s="24" t="s">
        <v>166</v>
      </c>
      <c r="B17" s="20" t="s">
        <v>20</v>
      </c>
    </row>
    <row r="19" customFormat="false" ht="15" hidden="false" customHeight="false" outlineLevel="0" collapsed="false">
      <c r="A19" s="25" t="s">
        <v>214</v>
      </c>
    </row>
  </sheetData>
  <autoFilter ref="A1:AM10"/>
  <conditionalFormatting sqref="G2:AD10">
    <cfRule type="cellIs" priority="2" operator="equal" aboveAverage="0" equalAverage="0" bottom="0" percent="0" rank="0" text="" dxfId="8">
      <formula>"Y"</formula>
    </cfRule>
    <cfRule type="cellIs" priority="3" operator="equal" aboveAverage="0" equalAverage="0" bottom="0" percent="0" rank="0" text="" dxfId="9">
      <formula>"R"</formula>
    </cfRule>
    <cfRule type="cellIs" priority="4" operator="equal" aboveAverage="0" equalAverage="0" bottom="0" percent="0" rank="0" text="" dxfId="10">
      <formula>"M"</formula>
    </cfRule>
    <cfRule type="cellIs" priority="5" operator="equal" aboveAverage="0" equalAverage="0" bottom="0" percent="0" rank="0" text="" dxfId="11">
      <formula>"N"</formula>
    </cfRule>
    <cfRule type="cellIs" priority="6" operator="equal" aboveAverage="0" equalAverage="0" bottom="0" percent="0" rank="0" text="" dxfId="12">
      <formula>"U"</formula>
    </cfRule>
  </conditionalFormatting>
  <dataValidations count="1">
    <dataValidation allowBlank="false" errorStyle="stop" operator="between" showDropDown="false" showErrorMessage="false" showInputMessage="false" sqref="G2:AD10" type="list">
      <formula1>"Y,R,M,N,U"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1"/>
    <col collapsed="false" customWidth="true" hidden="false" outlineLevel="0" max="4" min="4" style="0" width="26"/>
    <col collapsed="false" customWidth="true" hidden="false" outlineLevel="0" max="5" min="5" style="0" width="18"/>
    <col collapsed="false" customWidth="true" hidden="false" outlineLevel="0" max="6" min="6" style="0" width="8"/>
    <col collapsed="false" customWidth="true" hidden="false" outlineLevel="0" max="7" min="7" style="0" width="14"/>
    <col collapsed="false" customWidth="true" hidden="false" outlineLevel="0" max="8" min="8" style="0" width="32"/>
    <col collapsed="false" customWidth="true" hidden="false" outlineLevel="0" max="9" min="9" style="0" width="7"/>
    <col collapsed="false" customWidth="true" hidden="false" outlineLevel="0" max="10" min="10" style="0" width="34"/>
    <col collapsed="false" customWidth="true" hidden="false" outlineLevel="0" max="11" min="11" style="0" width="60"/>
    <col collapsed="false" customWidth="true" hidden="false" outlineLevel="0" max="12" min="12" style="0" width="22"/>
    <col collapsed="false" customWidth="true" hidden="false" outlineLevel="0" max="13" min="13" style="0" width="70"/>
  </cols>
  <sheetData>
    <row r="1" customFormat="false" ht="52.2" hidden="false" customHeight="false" outlineLevel="0" collapsed="false">
      <c r="A1" s="9" t="s">
        <v>120</v>
      </c>
      <c r="B1" s="9" t="s">
        <v>121</v>
      </c>
      <c r="C1" s="9" t="s">
        <v>122</v>
      </c>
      <c r="D1" s="9" t="s">
        <v>123</v>
      </c>
      <c r="E1" s="9" t="s">
        <v>215</v>
      </c>
      <c r="F1" s="9" t="s">
        <v>216</v>
      </c>
      <c r="G1" s="9" t="s">
        <v>30</v>
      </c>
      <c r="H1" s="9" t="s">
        <v>31</v>
      </c>
      <c r="I1" s="9" t="s">
        <v>217</v>
      </c>
      <c r="J1" s="9" t="s">
        <v>218</v>
      </c>
      <c r="K1" s="9" t="s">
        <v>219</v>
      </c>
      <c r="L1" s="9" t="s">
        <v>220</v>
      </c>
      <c r="M1" s="9" t="s">
        <v>221</v>
      </c>
    </row>
    <row r="2" customFormat="false" ht="35.05" hidden="false" customHeight="false" outlineLevel="0" collapsed="false">
      <c r="A2" s="10" t="s">
        <v>159</v>
      </c>
      <c r="B2" s="10" t="s">
        <v>160</v>
      </c>
      <c r="C2" s="10" t="s">
        <v>161</v>
      </c>
      <c r="D2" s="10" t="s">
        <v>162</v>
      </c>
      <c r="E2" s="10" t="s">
        <v>163</v>
      </c>
      <c r="F2" s="10" t="s">
        <v>33</v>
      </c>
      <c r="G2" s="10" t="s">
        <v>34</v>
      </c>
      <c r="H2" s="10" t="s">
        <v>35</v>
      </c>
      <c r="I2" s="26" t="s">
        <v>165</v>
      </c>
      <c r="J2" s="10" t="s">
        <v>14</v>
      </c>
      <c r="K2" s="10" t="s">
        <v>222</v>
      </c>
      <c r="L2" s="10" t="s">
        <v>223</v>
      </c>
      <c r="M2" s="10" t="s">
        <v>224</v>
      </c>
    </row>
    <row r="3" customFormat="false" ht="23.85" hidden="false" customHeight="false" outlineLevel="0" collapsed="false">
      <c r="A3" s="10" t="s">
        <v>159</v>
      </c>
      <c r="B3" s="10" t="s">
        <v>160</v>
      </c>
      <c r="C3" s="10" t="s">
        <v>161</v>
      </c>
      <c r="D3" s="10" t="s">
        <v>162</v>
      </c>
      <c r="E3" s="10" t="s">
        <v>163</v>
      </c>
      <c r="F3" s="10" t="s">
        <v>37</v>
      </c>
      <c r="G3" s="10" t="s">
        <v>34</v>
      </c>
      <c r="H3" s="10" t="s">
        <v>38</v>
      </c>
      <c r="I3" s="27" t="s">
        <v>166</v>
      </c>
      <c r="J3" s="10" t="s">
        <v>20</v>
      </c>
      <c r="K3" s="10" t="s">
        <v>225</v>
      </c>
      <c r="L3" s="10"/>
      <c r="M3" s="10"/>
    </row>
    <row r="4" customFormat="false" ht="23.85" hidden="false" customHeight="false" outlineLevel="0" collapsed="false">
      <c r="A4" s="10" t="s">
        <v>159</v>
      </c>
      <c r="B4" s="10" t="s">
        <v>160</v>
      </c>
      <c r="C4" s="10" t="s">
        <v>161</v>
      </c>
      <c r="D4" s="10" t="s">
        <v>162</v>
      </c>
      <c r="E4" s="10" t="s">
        <v>163</v>
      </c>
      <c r="F4" s="10" t="s">
        <v>40</v>
      </c>
      <c r="G4" s="10" t="s">
        <v>34</v>
      </c>
      <c r="H4" s="10" t="s">
        <v>41</v>
      </c>
      <c r="I4" s="27" t="s">
        <v>166</v>
      </c>
      <c r="J4" s="10" t="s">
        <v>20</v>
      </c>
      <c r="K4" s="10" t="s">
        <v>226</v>
      </c>
      <c r="L4" s="10"/>
      <c r="M4" s="10"/>
    </row>
    <row r="5" customFormat="false" ht="23.85" hidden="false" customHeight="false" outlineLevel="0" collapsed="false">
      <c r="A5" s="10" t="s">
        <v>159</v>
      </c>
      <c r="B5" s="10" t="s">
        <v>160</v>
      </c>
      <c r="C5" s="10" t="s">
        <v>161</v>
      </c>
      <c r="D5" s="10" t="s">
        <v>162</v>
      </c>
      <c r="E5" s="10" t="s">
        <v>163</v>
      </c>
      <c r="F5" s="10" t="s">
        <v>43</v>
      </c>
      <c r="G5" s="10" t="s">
        <v>34</v>
      </c>
      <c r="H5" s="10" t="s">
        <v>44</v>
      </c>
      <c r="I5" s="28" t="s">
        <v>167</v>
      </c>
      <c r="J5" s="10" t="s">
        <v>12</v>
      </c>
      <c r="K5" s="10" t="s">
        <v>227</v>
      </c>
      <c r="L5" s="10" t="s">
        <v>228</v>
      </c>
      <c r="M5" s="10" t="s">
        <v>229</v>
      </c>
    </row>
    <row r="6" customFormat="false" ht="23.85" hidden="false" customHeight="false" outlineLevel="0" collapsed="false">
      <c r="A6" s="10" t="s">
        <v>159</v>
      </c>
      <c r="B6" s="10" t="s">
        <v>160</v>
      </c>
      <c r="C6" s="10" t="s">
        <v>161</v>
      </c>
      <c r="D6" s="10" t="s">
        <v>162</v>
      </c>
      <c r="E6" s="10" t="s">
        <v>163</v>
      </c>
      <c r="F6" s="10" t="s">
        <v>46</v>
      </c>
      <c r="G6" s="10" t="s">
        <v>34</v>
      </c>
      <c r="H6" s="10" t="s">
        <v>47</v>
      </c>
      <c r="I6" s="27" t="s">
        <v>166</v>
      </c>
      <c r="J6" s="10" t="s">
        <v>20</v>
      </c>
      <c r="K6" s="10" t="s">
        <v>230</v>
      </c>
      <c r="L6" s="10"/>
      <c r="M6" s="10"/>
    </row>
    <row r="7" customFormat="false" ht="23.85" hidden="false" customHeight="false" outlineLevel="0" collapsed="false">
      <c r="A7" s="10" t="s">
        <v>159</v>
      </c>
      <c r="B7" s="10" t="s">
        <v>160</v>
      </c>
      <c r="C7" s="10" t="s">
        <v>161</v>
      </c>
      <c r="D7" s="10" t="s">
        <v>162</v>
      </c>
      <c r="E7" s="10" t="s">
        <v>163</v>
      </c>
      <c r="F7" s="10" t="s">
        <v>49</v>
      </c>
      <c r="G7" s="10" t="s">
        <v>34</v>
      </c>
      <c r="H7" s="10" t="s">
        <v>50</v>
      </c>
      <c r="I7" s="28" t="s">
        <v>167</v>
      </c>
      <c r="J7" s="10" t="s">
        <v>12</v>
      </c>
      <c r="K7" s="10" t="s">
        <v>231</v>
      </c>
      <c r="L7" s="10" t="s">
        <v>232</v>
      </c>
      <c r="M7" s="10" t="s">
        <v>233</v>
      </c>
    </row>
    <row r="8" customFormat="false" ht="23.85" hidden="false" customHeight="false" outlineLevel="0" collapsed="false">
      <c r="A8" s="10" t="s">
        <v>159</v>
      </c>
      <c r="B8" s="10" t="s">
        <v>160</v>
      </c>
      <c r="C8" s="10" t="s">
        <v>161</v>
      </c>
      <c r="D8" s="10" t="s">
        <v>162</v>
      </c>
      <c r="E8" s="10" t="s">
        <v>163</v>
      </c>
      <c r="F8" s="10" t="s">
        <v>52</v>
      </c>
      <c r="G8" s="10" t="s">
        <v>34</v>
      </c>
      <c r="H8" s="10" t="s">
        <v>53</v>
      </c>
      <c r="I8" s="28" t="s">
        <v>167</v>
      </c>
      <c r="J8" s="10" t="s">
        <v>12</v>
      </c>
      <c r="K8" s="10" t="s">
        <v>234</v>
      </c>
      <c r="L8" s="10" t="s">
        <v>235</v>
      </c>
      <c r="M8" s="10" t="s">
        <v>236</v>
      </c>
    </row>
    <row r="9" customFormat="false" ht="23.85" hidden="false" customHeight="false" outlineLevel="0" collapsed="false">
      <c r="A9" s="10" t="s">
        <v>159</v>
      </c>
      <c r="B9" s="10" t="s">
        <v>160</v>
      </c>
      <c r="C9" s="10" t="s">
        <v>161</v>
      </c>
      <c r="D9" s="10" t="s">
        <v>162</v>
      </c>
      <c r="E9" s="10" t="s">
        <v>163</v>
      </c>
      <c r="F9" s="10" t="s">
        <v>55</v>
      </c>
      <c r="G9" s="10" t="s">
        <v>34</v>
      </c>
      <c r="H9" s="10" t="s">
        <v>56</v>
      </c>
      <c r="I9" s="27" t="s">
        <v>166</v>
      </c>
      <c r="J9" s="10" t="s">
        <v>20</v>
      </c>
      <c r="K9" s="10" t="s">
        <v>237</v>
      </c>
      <c r="L9" s="10"/>
      <c r="M9" s="10"/>
    </row>
    <row r="10" customFormat="false" ht="23.85" hidden="false" customHeight="false" outlineLevel="0" collapsed="false">
      <c r="A10" s="10" t="s">
        <v>159</v>
      </c>
      <c r="B10" s="10" t="s">
        <v>160</v>
      </c>
      <c r="C10" s="10" t="s">
        <v>161</v>
      </c>
      <c r="D10" s="10" t="s">
        <v>162</v>
      </c>
      <c r="E10" s="10" t="s">
        <v>163</v>
      </c>
      <c r="F10" s="10" t="s">
        <v>58</v>
      </c>
      <c r="G10" s="10" t="s">
        <v>34</v>
      </c>
      <c r="H10" s="10" t="s">
        <v>59</v>
      </c>
      <c r="I10" s="28" t="s">
        <v>167</v>
      </c>
      <c r="J10" s="10" t="s">
        <v>12</v>
      </c>
      <c r="K10" s="10" t="s">
        <v>238</v>
      </c>
      <c r="L10" s="10" t="s">
        <v>239</v>
      </c>
      <c r="M10" s="10" t="s">
        <v>240</v>
      </c>
    </row>
    <row r="11" customFormat="false" ht="23.85" hidden="false" customHeight="false" outlineLevel="0" collapsed="false">
      <c r="A11" s="10" t="s">
        <v>159</v>
      </c>
      <c r="B11" s="10" t="s">
        <v>160</v>
      </c>
      <c r="C11" s="10" t="s">
        <v>161</v>
      </c>
      <c r="D11" s="10" t="s">
        <v>162</v>
      </c>
      <c r="E11" s="10" t="s">
        <v>163</v>
      </c>
      <c r="F11" s="10" t="s">
        <v>61</v>
      </c>
      <c r="G11" s="10" t="s">
        <v>62</v>
      </c>
      <c r="H11" s="10" t="s">
        <v>63</v>
      </c>
      <c r="I11" s="28" t="s">
        <v>167</v>
      </c>
      <c r="J11" s="10" t="s">
        <v>12</v>
      </c>
      <c r="K11" s="10" t="s">
        <v>241</v>
      </c>
      <c r="L11" s="10" t="s">
        <v>242</v>
      </c>
      <c r="M11" s="10" t="s">
        <v>243</v>
      </c>
    </row>
    <row r="12" customFormat="false" ht="23.85" hidden="false" customHeight="false" outlineLevel="0" collapsed="false">
      <c r="A12" s="10" t="s">
        <v>159</v>
      </c>
      <c r="B12" s="10" t="s">
        <v>160</v>
      </c>
      <c r="C12" s="10" t="s">
        <v>161</v>
      </c>
      <c r="D12" s="10" t="s">
        <v>162</v>
      </c>
      <c r="E12" s="10" t="s">
        <v>163</v>
      </c>
      <c r="F12" s="10" t="s">
        <v>65</v>
      </c>
      <c r="G12" s="10" t="s">
        <v>62</v>
      </c>
      <c r="H12" s="10" t="s">
        <v>66</v>
      </c>
      <c r="I12" s="28" t="s">
        <v>167</v>
      </c>
      <c r="J12" s="10" t="s">
        <v>12</v>
      </c>
      <c r="K12" s="10" t="s">
        <v>244</v>
      </c>
      <c r="L12" s="10" t="s">
        <v>242</v>
      </c>
      <c r="M12" s="10" t="s">
        <v>243</v>
      </c>
    </row>
    <row r="13" customFormat="false" ht="35.05" hidden="false" customHeight="false" outlineLevel="0" collapsed="false">
      <c r="A13" s="10" t="s">
        <v>159</v>
      </c>
      <c r="B13" s="10" t="s">
        <v>160</v>
      </c>
      <c r="C13" s="10" t="s">
        <v>161</v>
      </c>
      <c r="D13" s="10" t="s">
        <v>162</v>
      </c>
      <c r="E13" s="10" t="s">
        <v>163</v>
      </c>
      <c r="F13" s="10" t="s">
        <v>68</v>
      </c>
      <c r="G13" s="10" t="s">
        <v>62</v>
      </c>
      <c r="H13" s="10" t="s">
        <v>69</v>
      </c>
      <c r="I13" s="28" t="s">
        <v>167</v>
      </c>
      <c r="J13" s="10" t="s">
        <v>12</v>
      </c>
      <c r="K13" s="10" t="s">
        <v>245</v>
      </c>
      <c r="L13" s="10" t="s">
        <v>246</v>
      </c>
      <c r="M13" s="10" t="s">
        <v>247</v>
      </c>
    </row>
    <row r="14" customFormat="false" ht="23.85" hidden="false" customHeight="false" outlineLevel="0" collapsed="false">
      <c r="A14" s="10" t="s">
        <v>159</v>
      </c>
      <c r="B14" s="10" t="s">
        <v>160</v>
      </c>
      <c r="C14" s="10" t="s">
        <v>161</v>
      </c>
      <c r="D14" s="10" t="s">
        <v>162</v>
      </c>
      <c r="E14" s="10" t="s">
        <v>163</v>
      </c>
      <c r="F14" s="10" t="s">
        <v>71</v>
      </c>
      <c r="G14" s="10" t="s">
        <v>62</v>
      </c>
      <c r="H14" s="10" t="s">
        <v>72</v>
      </c>
      <c r="I14" s="27" t="s">
        <v>166</v>
      </c>
      <c r="J14" s="10" t="s">
        <v>20</v>
      </c>
      <c r="K14" s="10" t="s">
        <v>248</v>
      </c>
      <c r="L14" s="10"/>
      <c r="M14" s="10"/>
    </row>
    <row r="15" customFormat="false" ht="23.85" hidden="false" customHeight="false" outlineLevel="0" collapsed="false">
      <c r="A15" s="10" t="s">
        <v>159</v>
      </c>
      <c r="B15" s="10" t="s">
        <v>160</v>
      </c>
      <c r="C15" s="10" t="s">
        <v>161</v>
      </c>
      <c r="D15" s="10" t="s">
        <v>162</v>
      </c>
      <c r="E15" s="10" t="s">
        <v>163</v>
      </c>
      <c r="F15" s="10" t="s">
        <v>74</v>
      </c>
      <c r="G15" s="10" t="s">
        <v>62</v>
      </c>
      <c r="H15" s="10" t="s">
        <v>75</v>
      </c>
      <c r="I15" s="28" t="s">
        <v>167</v>
      </c>
      <c r="J15" s="10" t="s">
        <v>12</v>
      </c>
      <c r="K15" s="10" t="s">
        <v>249</v>
      </c>
      <c r="L15" s="10" t="s">
        <v>250</v>
      </c>
      <c r="M15" s="10" t="s">
        <v>251</v>
      </c>
    </row>
    <row r="16" customFormat="false" ht="23.85" hidden="false" customHeight="false" outlineLevel="0" collapsed="false">
      <c r="A16" s="10" t="s">
        <v>159</v>
      </c>
      <c r="B16" s="10" t="s">
        <v>160</v>
      </c>
      <c r="C16" s="10" t="s">
        <v>161</v>
      </c>
      <c r="D16" s="10" t="s">
        <v>162</v>
      </c>
      <c r="E16" s="10" t="s">
        <v>163</v>
      </c>
      <c r="F16" s="10" t="s">
        <v>77</v>
      </c>
      <c r="G16" s="10" t="s">
        <v>62</v>
      </c>
      <c r="H16" s="10" t="s">
        <v>78</v>
      </c>
      <c r="I16" s="29" t="s">
        <v>168</v>
      </c>
      <c r="J16" s="10" t="s">
        <v>16</v>
      </c>
      <c r="K16" s="10" t="s">
        <v>252</v>
      </c>
      <c r="L16" s="10" t="s">
        <v>253</v>
      </c>
      <c r="M16" s="10" t="s">
        <v>254</v>
      </c>
    </row>
    <row r="17" customFormat="false" ht="23.85" hidden="false" customHeight="false" outlineLevel="0" collapsed="false">
      <c r="A17" s="10" t="s">
        <v>159</v>
      </c>
      <c r="B17" s="10" t="s">
        <v>160</v>
      </c>
      <c r="C17" s="10" t="s">
        <v>161</v>
      </c>
      <c r="D17" s="10" t="s">
        <v>162</v>
      </c>
      <c r="E17" s="10" t="s">
        <v>163</v>
      </c>
      <c r="F17" s="10" t="s">
        <v>80</v>
      </c>
      <c r="G17" s="10" t="s">
        <v>62</v>
      </c>
      <c r="H17" s="10" t="s">
        <v>81</v>
      </c>
      <c r="I17" s="29" t="s">
        <v>168</v>
      </c>
      <c r="J17" s="10" t="s">
        <v>16</v>
      </c>
      <c r="K17" s="10" t="s">
        <v>255</v>
      </c>
      <c r="L17" s="10" t="s">
        <v>256</v>
      </c>
      <c r="M17" s="10" t="s">
        <v>257</v>
      </c>
    </row>
    <row r="18" customFormat="false" ht="23.85" hidden="false" customHeight="false" outlineLevel="0" collapsed="false">
      <c r="A18" s="10" t="s">
        <v>159</v>
      </c>
      <c r="B18" s="10" t="s">
        <v>160</v>
      </c>
      <c r="C18" s="10" t="s">
        <v>161</v>
      </c>
      <c r="D18" s="10" t="s">
        <v>162</v>
      </c>
      <c r="E18" s="10" t="s">
        <v>163</v>
      </c>
      <c r="F18" s="10" t="s">
        <v>83</v>
      </c>
      <c r="G18" s="10" t="s">
        <v>84</v>
      </c>
      <c r="H18" s="10" t="s">
        <v>85</v>
      </c>
      <c r="I18" s="28" t="s">
        <v>167</v>
      </c>
      <c r="J18" s="10" t="s">
        <v>12</v>
      </c>
      <c r="K18" s="10" t="s">
        <v>258</v>
      </c>
      <c r="L18" s="10" t="s">
        <v>259</v>
      </c>
      <c r="M18" s="10" t="s">
        <v>260</v>
      </c>
    </row>
    <row r="19" customFormat="false" ht="23.85" hidden="false" customHeight="false" outlineLevel="0" collapsed="false">
      <c r="A19" s="10" t="s">
        <v>159</v>
      </c>
      <c r="B19" s="10" t="s">
        <v>160</v>
      </c>
      <c r="C19" s="10" t="s">
        <v>161</v>
      </c>
      <c r="D19" s="10" t="s">
        <v>162</v>
      </c>
      <c r="E19" s="10" t="s">
        <v>163</v>
      </c>
      <c r="F19" s="10" t="s">
        <v>87</v>
      </c>
      <c r="G19" s="10" t="s">
        <v>84</v>
      </c>
      <c r="H19" s="10" t="s">
        <v>88</v>
      </c>
      <c r="I19" s="28" t="s">
        <v>167</v>
      </c>
      <c r="J19" s="10" t="s">
        <v>12</v>
      </c>
      <c r="K19" s="10" t="s">
        <v>261</v>
      </c>
      <c r="L19" s="10" t="s">
        <v>262</v>
      </c>
      <c r="M19" s="10" t="s">
        <v>263</v>
      </c>
    </row>
    <row r="20" customFormat="false" ht="23.85" hidden="false" customHeight="false" outlineLevel="0" collapsed="false">
      <c r="A20" s="10" t="s">
        <v>159</v>
      </c>
      <c r="B20" s="10" t="s">
        <v>160</v>
      </c>
      <c r="C20" s="10" t="s">
        <v>161</v>
      </c>
      <c r="D20" s="10" t="s">
        <v>162</v>
      </c>
      <c r="E20" s="10" t="s">
        <v>163</v>
      </c>
      <c r="F20" s="10" t="s">
        <v>90</v>
      </c>
      <c r="G20" s="10" t="s">
        <v>84</v>
      </c>
      <c r="H20" s="10" t="s">
        <v>91</v>
      </c>
      <c r="I20" s="27" t="s">
        <v>166</v>
      </c>
      <c r="J20" s="10" t="s">
        <v>20</v>
      </c>
      <c r="K20" s="10" t="s">
        <v>264</v>
      </c>
      <c r="L20" s="10"/>
      <c r="M20" s="10"/>
    </row>
    <row r="21" customFormat="false" ht="23.85" hidden="false" customHeight="false" outlineLevel="0" collapsed="false">
      <c r="A21" s="10" t="s">
        <v>159</v>
      </c>
      <c r="B21" s="10" t="s">
        <v>160</v>
      </c>
      <c r="C21" s="10" t="s">
        <v>161</v>
      </c>
      <c r="D21" s="10" t="s">
        <v>162</v>
      </c>
      <c r="E21" s="10" t="s">
        <v>163</v>
      </c>
      <c r="F21" s="10" t="s">
        <v>93</v>
      </c>
      <c r="G21" s="10" t="s">
        <v>84</v>
      </c>
      <c r="H21" s="10" t="s">
        <v>94</v>
      </c>
      <c r="I21" s="28" t="s">
        <v>167</v>
      </c>
      <c r="J21" s="10" t="s">
        <v>12</v>
      </c>
      <c r="K21" s="10" t="s">
        <v>265</v>
      </c>
      <c r="L21" s="10" t="s">
        <v>262</v>
      </c>
      <c r="M21" s="10" t="s">
        <v>263</v>
      </c>
    </row>
    <row r="22" customFormat="false" ht="23.85" hidden="false" customHeight="false" outlineLevel="0" collapsed="false">
      <c r="A22" s="10" t="s">
        <v>159</v>
      </c>
      <c r="B22" s="10" t="s">
        <v>160</v>
      </c>
      <c r="C22" s="10" t="s">
        <v>161</v>
      </c>
      <c r="D22" s="10" t="s">
        <v>162</v>
      </c>
      <c r="E22" s="10" t="s">
        <v>163</v>
      </c>
      <c r="F22" s="10" t="s">
        <v>96</v>
      </c>
      <c r="G22" s="10" t="s">
        <v>97</v>
      </c>
      <c r="H22" s="10" t="s">
        <v>98</v>
      </c>
      <c r="I22" s="29" t="s">
        <v>168</v>
      </c>
      <c r="J22" s="10" t="s">
        <v>16</v>
      </c>
      <c r="K22" s="10" t="s">
        <v>266</v>
      </c>
      <c r="L22" s="10" t="s">
        <v>262</v>
      </c>
      <c r="M22" s="10" t="s">
        <v>263</v>
      </c>
    </row>
    <row r="23" customFormat="false" ht="23.85" hidden="false" customHeight="false" outlineLevel="0" collapsed="false">
      <c r="A23" s="10" t="s">
        <v>159</v>
      </c>
      <c r="B23" s="10" t="s">
        <v>160</v>
      </c>
      <c r="C23" s="10" t="s">
        <v>161</v>
      </c>
      <c r="D23" s="10" t="s">
        <v>162</v>
      </c>
      <c r="E23" s="10" t="s">
        <v>163</v>
      </c>
      <c r="F23" s="10" t="s">
        <v>100</v>
      </c>
      <c r="G23" s="10" t="s">
        <v>97</v>
      </c>
      <c r="H23" s="10" t="s">
        <v>101</v>
      </c>
      <c r="I23" s="27" t="s">
        <v>166</v>
      </c>
      <c r="J23" s="10" t="s">
        <v>20</v>
      </c>
      <c r="K23" s="10" t="s">
        <v>267</v>
      </c>
      <c r="L23" s="10"/>
      <c r="M23" s="10"/>
    </row>
    <row r="24" customFormat="false" ht="23.85" hidden="false" customHeight="false" outlineLevel="0" collapsed="false">
      <c r="A24" s="10" t="s">
        <v>159</v>
      </c>
      <c r="B24" s="10" t="s">
        <v>160</v>
      </c>
      <c r="C24" s="10" t="s">
        <v>161</v>
      </c>
      <c r="D24" s="10" t="s">
        <v>162</v>
      </c>
      <c r="E24" s="10" t="s">
        <v>163</v>
      </c>
      <c r="F24" s="10" t="s">
        <v>103</v>
      </c>
      <c r="G24" s="10" t="s">
        <v>97</v>
      </c>
      <c r="H24" s="10" t="s">
        <v>104</v>
      </c>
      <c r="I24" s="27" t="s">
        <v>166</v>
      </c>
      <c r="J24" s="10" t="s">
        <v>20</v>
      </c>
      <c r="K24" s="10" t="s">
        <v>267</v>
      </c>
      <c r="L24" s="10"/>
      <c r="M24" s="10"/>
    </row>
    <row r="25" customFormat="false" ht="23.85" hidden="false" customHeight="false" outlineLevel="0" collapsed="false">
      <c r="A25" s="10" t="s">
        <v>159</v>
      </c>
      <c r="B25" s="10" t="s">
        <v>160</v>
      </c>
      <c r="C25" s="10" t="s">
        <v>161</v>
      </c>
      <c r="D25" s="10" t="s">
        <v>162</v>
      </c>
      <c r="E25" s="10" t="s">
        <v>163</v>
      </c>
      <c r="F25" s="10" t="s">
        <v>106</v>
      </c>
      <c r="G25" s="10" t="s">
        <v>97</v>
      </c>
      <c r="H25" s="10" t="s">
        <v>107</v>
      </c>
      <c r="I25" s="27" t="s">
        <v>166</v>
      </c>
      <c r="J25" s="10" t="s">
        <v>20</v>
      </c>
      <c r="K25" s="10" t="s">
        <v>267</v>
      </c>
      <c r="L25" s="10"/>
      <c r="M25" s="10"/>
    </row>
    <row r="26" customFormat="false" ht="23.85" hidden="false" customHeight="false" outlineLevel="0" collapsed="false">
      <c r="A26" s="10" t="s">
        <v>159</v>
      </c>
      <c r="B26" s="10" t="s">
        <v>170</v>
      </c>
      <c r="C26" s="10" t="s">
        <v>171</v>
      </c>
      <c r="D26" s="10" t="s">
        <v>172</v>
      </c>
      <c r="E26" s="10" t="s">
        <v>173</v>
      </c>
      <c r="F26" s="10" t="s">
        <v>33</v>
      </c>
      <c r="G26" s="10" t="s">
        <v>34</v>
      </c>
      <c r="H26" s="10" t="s">
        <v>35</v>
      </c>
      <c r="I26" s="26" t="s">
        <v>165</v>
      </c>
      <c r="J26" s="10" t="s">
        <v>14</v>
      </c>
      <c r="K26" s="10" t="s">
        <v>268</v>
      </c>
      <c r="L26" s="10" t="s">
        <v>269</v>
      </c>
      <c r="M26" s="10" t="s">
        <v>270</v>
      </c>
    </row>
    <row r="27" customFormat="false" ht="15" hidden="false" customHeight="false" outlineLevel="0" collapsed="false">
      <c r="A27" s="10" t="s">
        <v>159</v>
      </c>
      <c r="B27" s="10" t="s">
        <v>170</v>
      </c>
      <c r="C27" s="10" t="s">
        <v>171</v>
      </c>
      <c r="D27" s="10" t="s">
        <v>172</v>
      </c>
      <c r="E27" s="10" t="s">
        <v>173</v>
      </c>
      <c r="F27" s="10" t="s">
        <v>37</v>
      </c>
      <c r="G27" s="10" t="s">
        <v>34</v>
      </c>
      <c r="H27" s="10" t="s">
        <v>38</v>
      </c>
      <c r="I27" s="27" t="s">
        <v>166</v>
      </c>
      <c r="J27" s="10" t="s">
        <v>20</v>
      </c>
      <c r="K27" s="10" t="s">
        <v>267</v>
      </c>
      <c r="L27" s="10"/>
      <c r="M27" s="10"/>
    </row>
    <row r="28" customFormat="false" ht="35.05" hidden="false" customHeight="false" outlineLevel="0" collapsed="false">
      <c r="A28" s="10" t="s">
        <v>159</v>
      </c>
      <c r="B28" s="10" t="s">
        <v>170</v>
      </c>
      <c r="C28" s="10" t="s">
        <v>171</v>
      </c>
      <c r="D28" s="10" t="s">
        <v>172</v>
      </c>
      <c r="E28" s="10" t="s">
        <v>173</v>
      </c>
      <c r="F28" s="10" t="s">
        <v>40</v>
      </c>
      <c r="G28" s="10" t="s">
        <v>34</v>
      </c>
      <c r="H28" s="10" t="s">
        <v>41</v>
      </c>
      <c r="I28" s="29" t="s">
        <v>168</v>
      </c>
      <c r="J28" s="10" t="s">
        <v>16</v>
      </c>
      <c r="K28" s="10" t="s">
        <v>271</v>
      </c>
      <c r="L28" s="10" t="s">
        <v>272</v>
      </c>
      <c r="M28" s="10" t="s">
        <v>273</v>
      </c>
    </row>
    <row r="29" customFormat="false" ht="23.85" hidden="false" customHeight="false" outlineLevel="0" collapsed="false">
      <c r="A29" s="10" t="s">
        <v>159</v>
      </c>
      <c r="B29" s="10" t="s">
        <v>170</v>
      </c>
      <c r="C29" s="10" t="s">
        <v>171</v>
      </c>
      <c r="D29" s="10" t="s">
        <v>172</v>
      </c>
      <c r="E29" s="10" t="s">
        <v>173</v>
      </c>
      <c r="F29" s="10" t="s">
        <v>43</v>
      </c>
      <c r="G29" s="10" t="s">
        <v>34</v>
      </c>
      <c r="H29" s="10" t="s">
        <v>44</v>
      </c>
      <c r="I29" s="28" t="s">
        <v>167</v>
      </c>
      <c r="J29" s="10" t="s">
        <v>12</v>
      </c>
      <c r="K29" s="10" t="s">
        <v>274</v>
      </c>
      <c r="L29" s="10" t="s">
        <v>275</v>
      </c>
      <c r="M29" s="10" t="s">
        <v>276</v>
      </c>
    </row>
    <row r="30" customFormat="false" ht="15" hidden="false" customHeight="false" outlineLevel="0" collapsed="false">
      <c r="A30" s="10" t="s">
        <v>159</v>
      </c>
      <c r="B30" s="10" t="s">
        <v>170</v>
      </c>
      <c r="C30" s="10" t="s">
        <v>171</v>
      </c>
      <c r="D30" s="10" t="s">
        <v>172</v>
      </c>
      <c r="E30" s="10" t="s">
        <v>173</v>
      </c>
      <c r="F30" s="10" t="s">
        <v>46</v>
      </c>
      <c r="G30" s="10" t="s">
        <v>34</v>
      </c>
      <c r="H30" s="10" t="s">
        <v>47</v>
      </c>
      <c r="I30" s="27" t="s">
        <v>166</v>
      </c>
      <c r="J30" s="10" t="s">
        <v>20</v>
      </c>
      <c r="K30" s="10" t="s">
        <v>267</v>
      </c>
      <c r="L30" s="10"/>
      <c r="M30" s="10"/>
    </row>
    <row r="31" customFormat="false" ht="35.05" hidden="false" customHeight="false" outlineLevel="0" collapsed="false">
      <c r="A31" s="10" t="s">
        <v>159</v>
      </c>
      <c r="B31" s="10" t="s">
        <v>170</v>
      </c>
      <c r="C31" s="10" t="s">
        <v>171</v>
      </c>
      <c r="D31" s="10" t="s">
        <v>172</v>
      </c>
      <c r="E31" s="10" t="s">
        <v>173</v>
      </c>
      <c r="F31" s="10" t="s">
        <v>49</v>
      </c>
      <c r="G31" s="10" t="s">
        <v>34</v>
      </c>
      <c r="H31" s="10" t="s">
        <v>50</v>
      </c>
      <c r="I31" s="28" t="s">
        <v>167</v>
      </c>
      <c r="J31" s="10" t="s">
        <v>12</v>
      </c>
      <c r="K31" s="10" t="s">
        <v>277</v>
      </c>
      <c r="L31" s="10" t="s">
        <v>278</v>
      </c>
      <c r="M31" s="10" t="s">
        <v>279</v>
      </c>
    </row>
    <row r="32" customFormat="false" ht="35.05" hidden="false" customHeight="false" outlineLevel="0" collapsed="false">
      <c r="A32" s="10" t="s">
        <v>159</v>
      </c>
      <c r="B32" s="10" t="s">
        <v>170</v>
      </c>
      <c r="C32" s="10" t="s">
        <v>171</v>
      </c>
      <c r="D32" s="10" t="s">
        <v>172</v>
      </c>
      <c r="E32" s="10" t="s">
        <v>173</v>
      </c>
      <c r="F32" s="10" t="s">
        <v>52</v>
      </c>
      <c r="G32" s="10" t="s">
        <v>34</v>
      </c>
      <c r="H32" s="10" t="s">
        <v>53</v>
      </c>
      <c r="I32" s="29" t="s">
        <v>168</v>
      </c>
      <c r="J32" s="10" t="s">
        <v>16</v>
      </c>
      <c r="K32" s="10" t="s">
        <v>280</v>
      </c>
      <c r="L32" s="10" t="s">
        <v>272</v>
      </c>
      <c r="M32" s="10" t="s">
        <v>273</v>
      </c>
    </row>
    <row r="33" customFormat="false" ht="35.05" hidden="false" customHeight="false" outlineLevel="0" collapsed="false">
      <c r="A33" s="10" t="s">
        <v>159</v>
      </c>
      <c r="B33" s="10" t="s">
        <v>170</v>
      </c>
      <c r="C33" s="10" t="s">
        <v>171</v>
      </c>
      <c r="D33" s="10" t="s">
        <v>172</v>
      </c>
      <c r="E33" s="10" t="s">
        <v>173</v>
      </c>
      <c r="F33" s="10" t="s">
        <v>55</v>
      </c>
      <c r="G33" s="10" t="s">
        <v>34</v>
      </c>
      <c r="H33" s="10" t="s">
        <v>56</v>
      </c>
      <c r="I33" s="29" t="s">
        <v>168</v>
      </c>
      <c r="J33" s="10" t="s">
        <v>16</v>
      </c>
      <c r="K33" s="10" t="s">
        <v>281</v>
      </c>
      <c r="L33" s="10" t="s">
        <v>272</v>
      </c>
      <c r="M33" s="10" t="s">
        <v>273</v>
      </c>
    </row>
    <row r="34" customFormat="false" ht="35.05" hidden="false" customHeight="false" outlineLevel="0" collapsed="false">
      <c r="A34" s="10" t="s">
        <v>159</v>
      </c>
      <c r="B34" s="10" t="s">
        <v>170</v>
      </c>
      <c r="C34" s="10" t="s">
        <v>171</v>
      </c>
      <c r="D34" s="10" t="s">
        <v>172</v>
      </c>
      <c r="E34" s="10" t="s">
        <v>173</v>
      </c>
      <c r="F34" s="10" t="s">
        <v>58</v>
      </c>
      <c r="G34" s="10" t="s">
        <v>34</v>
      </c>
      <c r="H34" s="10" t="s">
        <v>59</v>
      </c>
      <c r="I34" s="29" t="s">
        <v>168</v>
      </c>
      <c r="J34" s="10" t="s">
        <v>16</v>
      </c>
      <c r="K34" s="10" t="s">
        <v>282</v>
      </c>
      <c r="L34" s="10" t="s">
        <v>272</v>
      </c>
      <c r="M34" s="10" t="s">
        <v>273</v>
      </c>
    </row>
    <row r="35" customFormat="false" ht="46.25" hidden="false" customHeight="false" outlineLevel="0" collapsed="false">
      <c r="A35" s="10" t="s">
        <v>159</v>
      </c>
      <c r="B35" s="10" t="s">
        <v>170</v>
      </c>
      <c r="C35" s="10" t="s">
        <v>171</v>
      </c>
      <c r="D35" s="10" t="s">
        <v>172</v>
      </c>
      <c r="E35" s="10" t="s">
        <v>173</v>
      </c>
      <c r="F35" s="10" t="s">
        <v>61</v>
      </c>
      <c r="G35" s="10" t="s">
        <v>62</v>
      </c>
      <c r="H35" s="10" t="s">
        <v>63</v>
      </c>
      <c r="I35" s="28" t="s">
        <v>167</v>
      </c>
      <c r="J35" s="10" t="s">
        <v>12</v>
      </c>
      <c r="K35" s="10" t="s">
        <v>283</v>
      </c>
      <c r="L35" s="10" t="s">
        <v>284</v>
      </c>
      <c r="M35" s="10" t="s">
        <v>285</v>
      </c>
    </row>
    <row r="36" customFormat="false" ht="46.25" hidden="false" customHeight="false" outlineLevel="0" collapsed="false">
      <c r="A36" s="10" t="s">
        <v>159</v>
      </c>
      <c r="B36" s="10" t="s">
        <v>170</v>
      </c>
      <c r="C36" s="10" t="s">
        <v>171</v>
      </c>
      <c r="D36" s="10" t="s">
        <v>172</v>
      </c>
      <c r="E36" s="10" t="s">
        <v>173</v>
      </c>
      <c r="F36" s="10" t="s">
        <v>65</v>
      </c>
      <c r="G36" s="10" t="s">
        <v>62</v>
      </c>
      <c r="H36" s="10" t="s">
        <v>66</v>
      </c>
      <c r="I36" s="28" t="s">
        <v>167</v>
      </c>
      <c r="J36" s="10" t="s">
        <v>12</v>
      </c>
      <c r="K36" s="10" t="s">
        <v>286</v>
      </c>
      <c r="L36" s="10" t="s">
        <v>284</v>
      </c>
      <c r="M36" s="10" t="s">
        <v>285</v>
      </c>
    </row>
    <row r="37" customFormat="false" ht="23.85" hidden="false" customHeight="false" outlineLevel="0" collapsed="false">
      <c r="A37" s="10" t="s">
        <v>159</v>
      </c>
      <c r="B37" s="10" t="s">
        <v>170</v>
      </c>
      <c r="C37" s="10" t="s">
        <v>171</v>
      </c>
      <c r="D37" s="10" t="s">
        <v>172</v>
      </c>
      <c r="E37" s="10" t="s">
        <v>173</v>
      </c>
      <c r="F37" s="10" t="s">
        <v>68</v>
      </c>
      <c r="G37" s="10" t="s">
        <v>62</v>
      </c>
      <c r="H37" s="10" t="s">
        <v>69</v>
      </c>
      <c r="I37" s="29" t="s">
        <v>168</v>
      </c>
      <c r="J37" s="10" t="s">
        <v>16</v>
      </c>
      <c r="K37" s="10" t="s">
        <v>287</v>
      </c>
      <c r="L37" s="10" t="s">
        <v>288</v>
      </c>
      <c r="M37" s="10" t="s">
        <v>289</v>
      </c>
    </row>
    <row r="38" customFormat="false" ht="15" hidden="false" customHeight="false" outlineLevel="0" collapsed="false">
      <c r="A38" s="10" t="s">
        <v>159</v>
      </c>
      <c r="B38" s="10" t="s">
        <v>170</v>
      </c>
      <c r="C38" s="10" t="s">
        <v>171</v>
      </c>
      <c r="D38" s="10" t="s">
        <v>172</v>
      </c>
      <c r="E38" s="10" t="s">
        <v>173</v>
      </c>
      <c r="F38" s="10" t="s">
        <v>71</v>
      </c>
      <c r="G38" s="10" t="s">
        <v>62</v>
      </c>
      <c r="H38" s="10" t="s">
        <v>72</v>
      </c>
      <c r="I38" s="27" t="s">
        <v>166</v>
      </c>
      <c r="J38" s="10" t="s">
        <v>20</v>
      </c>
      <c r="K38" s="10" t="s">
        <v>267</v>
      </c>
      <c r="L38" s="10"/>
      <c r="M38" s="10"/>
    </row>
    <row r="39" customFormat="false" ht="23.85" hidden="false" customHeight="false" outlineLevel="0" collapsed="false">
      <c r="A39" s="10" t="s">
        <v>159</v>
      </c>
      <c r="B39" s="10" t="s">
        <v>170</v>
      </c>
      <c r="C39" s="10" t="s">
        <v>171</v>
      </c>
      <c r="D39" s="10" t="s">
        <v>172</v>
      </c>
      <c r="E39" s="10" t="s">
        <v>173</v>
      </c>
      <c r="F39" s="10" t="s">
        <v>74</v>
      </c>
      <c r="G39" s="10" t="s">
        <v>62</v>
      </c>
      <c r="H39" s="10" t="s">
        <v>75</v>
      </c>
      <c r="I39" s="28" t="s">
        <v>167</v>
      </c>
      <c r="J39" s="10" t="s">
        <v>12</v>
      </c>
      <c r="K39" s="10" t="s">
        <v>290</v>
      </c>
      <c r="L39" s="10" t="s">
        <v>291</v>
      </c>
      <c r="M39" s="10" t="s">
        <v>292</v>
      </c>
    </row>
    <row r="40" customFormat="false" ht="35.05" hidden="false" customHeight="false" outlineLevel="0" collapsed="false">
      <c r="A40" s="10" t="s">
        <v>159</v>
      </c>
      <c r="B40" s="10" t="s">
        <v>170</v>
      </c>
      <c r="C40" s="10" t="s">
        <v>171</v>
      </c>
      <c r="D40" s="10" t="s">
        <v>172</v>
      </c>
      <c r="E40" s="10" t="s">
        <v>173</v>
      </c>
      <c r="F40" s="10" t="s">
        <v>77</v>
      </c>
      <c r="G40" s="10" t="s">
        <v>62</v>
      </c>
      <c r="H40" s="10" t="s">
        <v>78</v>
      </c>
      <c r="I40" s="28" t="s">
        <v>167</v>
      </c>
      <c r="J40" s="10" t="s">
        <v>12</v>
      </c>
      <c r="K40" s="10" t="s">
        <v>293</v>
      </c>
      <c r="L40" s="10" t="s">
        <v>294</v>
      </c>
      <c r="M40" s="10" t="s">
        <v>295</v>
      </c>
    </row>
    <row r="41" customFormat="false" ht="46.25" hidden="false" customHeight="false" outlineLevel="0" collapsed="false">
      <c r="A41" s="10" t="s">
        <v>159</v>
      </c>
      <c r="B41" s="10" t="s">
        <v>170</v>
      </c>
      <c r="C41" s="10" t="s">
        <v>171</v>
      </c>
      <c r="D41" s="10" t="s">
        <v>172</v>
      </c>
      <c r="E41" s="10" t="s">
        <v>173</v>
      </c>
      <c r="F41" s="10" t="s">
        <v>80</v>
      </c>
      <c r="G41" s="10" t="s">
        <v>62</v>
      </c>
      <c r="H41" s="10" t="s">
        <v>81</v>
      </c>
      <c r="I41" s="28" t="s">
        <v>167</v>
      </c>
      <c r="J41" s="10" t="s">
        <v>12</v>
      </c>
      <c r="K41" s="10" t="s">
        <v>296</v>
      </c>
      <c r="L41" s="10" t="s">
        <v>297</v>
      </c>
      <c r="M41" s="10" t="s">
        <v>298</v>
      </c>
    </row>
    <row r="42" customFormat="false" ht="35.05" hidden="false" customHeight="false" outlineLevel="0" collapsed="false">
      <c r="A42" s="10" t="s">
        <v>159</v>
      </c>
      <c r="B42" s="10" t="s">
        <v>170</v>
      </c>
      <c r="C42" s="10" t="s">
        <v>171</v>
      </c>
      <c r="D42" s="10" t="s">
        <v>172</v>
      </c>
      <c r="E42" s="10" t="s">
        <v>173</v>
      </c>
      <c r="F42" s="10" t="s">
        <v>83</v>
      </c>
      <c r="G42" s="10" t="s">
        <v>84</v>
      </c>
      <c r="H42" s="10" t="s">
        <v>85</v>
      </c>
      <c r="I42" s="28" t="s">
        <v>167</v>
      </c>
      <c r="J42" s="10" t="s">
        <v>12</v>
      </c>
      <c r="K42" s="10" t="s">
        <v>299</v>
      </c>
      <c r="L42" s="10" t="s">
        <v>300</v>
      </c>
      <c r="M42" s="10" t="s">
        <v>301</v>
      </c>
    </row>
    <row r="43" customFormat="false" ht="35.05" hidden="false" customHeight="false" outlineLevel="0" collapsed="false">
      <c r="A43" s="10" t="s">
        <v>159</v>
      </c>
      <c r="B43" s="10" t="s">
        <v>170</v>
      </c>
      <c r="C43" s="10" t="s">
        <v>171</v>
      </c>
      <c r="D43" s="10" t="s">
        <v>172</v>
      </c>
      <c r="E43" s="10" t="s">
        <v>173</v>
      </c>
      <c r="F43" s="10" t="s">
        <v>87</v>
      </c>
      <c r="G43" s="10" t="s">
        <v>84</v>
      </c>
      <c r="H43" s="10" t="s">
        <v>88</v>
      </c>
      <c r="I43" s="29" t="s">
        <v>168</v>
      </c>
      <c r="J43" s="10" t="s">
        <v>16</v>
      </c>
      <c r="K43" s="10" t="s">
        <v>302</v>
      </c>
      <c r="L43" s="10" t="s">
        <v>272</v>
      </c>
      <c r="M43" s="10" t="s">
        <v>273</v>
      </c>
    </row>
    <row r="44" customFormat="false" ht="15" hidden="false" customHeight="false" outlineLevel="0" collapsed="false">
      <c r="A44" s="10" t="s">
        <v>159</v>
      </c>
      <c r="B44" s="10" t="s">
        <v>170</v>
      </c>
      <c r="C44" s="10" t="s">
        <v>171</v>
      </c>
      <c r="D44" s="10" t="s">
        <v>172</v>
      </c>
      <c r="E44" s="10" t="s">
        <v>173</v>
      </c>
      <c r="F44" s="10" t="s">
        <v>90</v>
      </c>
      <c r="G44" s="10" t="s">
        <v>84</v>
      </c>
      <c r="H44" s="10" t="s">
        <v>91</v>
      </c>
      <c r="I44" s="27" t="s">
        <v>166</v>
      </c>
      <c r="J44" s="10" t="s">
        <v>20</v>
      </c>
      <c r="K44" s="10" t="s">
        <v>267</v>
      </c>
      <c r="L44" s="10"/>
      <c r="M44" s="10"/>
    </row>
    <row r="45" customFormat="false" ht="23.85" hidden="false" customHeight="false" outlineLevel="0" collapsed="false">
      <c r="A45" s="10" t="s">
        <v>159</v>
      </c>
      <c r="B45" s="10" t="s">
        <v>170</v>
      </c>
      <c r="C45" s="10" t="s">
        <v>171</v>
      </c>
      <c r="D45" s="10" t="s">
        <v>172</v>
      </c>
      <c r="E45" s="10" t="s">
        <v>173</v>
      </c>
      <c r="F45" s="10" t="s">
        <v>93</v>
      </c>
      <c r="G45" s="10" t="s">
        <v>84</v>
      </c>
      <c r="H45" s="10" t="s">
        <v>94</v>
      </c>
      <c r="I45" s="28" t="s">
        <v>167</v>
      </c>
      <c r="J45" s="10" t="s">
        <v>12</v>
      </c>
      <c r="K45" s="10" t="s">
        <v>303</v>
      </c>
      <c r="L45" s="10" t="s">
        <v>275</v>
      </c>
      <c r="M45" s="10" t="s">
        <v>276</v>
      </c>
    </row>
    <row r="46" customFormat="false" ht="35.05" hidden="false" customHeight="false" outlineLevel="0" collapsed="false">
      <c r="A46" s="10" t="s">
        <v>159</v>
      </c>
      <c r="B46" s="10" t="s">
        <v>170</v>
      </c>
      <c r="C46" s="10" t="s">
        <v>171</v>
      </c>
      <c r="D46" s="10" t="s">
        <v>172</v>
      </c>
      <c r="E46" s="10" t="s">
        <v>173</v>
      </c>
      <c r="F46" s="10" t="s">
        <v>96</v>
      </c>
      <c r="G46" s="10" t="s">
        <v>97</v>
      </c>
      <c r="H46" s="10" t="s">
        <v>98</v>
      </c>
      <c r="I46" s="29" t="s">
        <v>168</v>
      </c>
      <c r="J46" s="10" t="s">
        <v>16</v>
      </c>
      <c r="K46" s="10" t="s">
        <v>304</v>
      </c>
      <c r="L46" s="10" t="s">
        <v>272</v>
      </c>
      <c r="M46" s="10" t="s">
        <v>273</v>
      </c>
    </row>
    <row r="47" customFormat="false" ht="23.85" hidden="false" customHeight="false" outlineLevel="0" collapsed="false">
      <c r="A47" s="10" t="s">
        <v>159</v>
      </c>
      <c r="B47" s="10" t="s">
        <v>170</v>
      </c>
      <c r="C47" s="10" t="s">
        <v>171</v>
      </c>
      <c r="D47" s="10" t="s">
        <v>172</v>
      </c>
      <c r="E47" s="10" t="s">
        <v>173</v>
      </c>
      <c r="F47" s="10" t="s">
        <v>100</v>
      </c>
      <c r="G47" s="10" t="s">
        <v>97</v>
      </c>
      <c r="H47" s="10" t="s">
        <v>101</v>
      </c>
      <c r="I47" s="27" t="s">
        <v>166</v>
      </c>
      <c r="J47" s="10" t="s">
        <v>20</v>
      </c>
      <c r="K47" s="10" t="s">
        <v>267</v>
      </c>
      <c r="L47" s="10"/>
      <c r="M47" s="10"/>
    </row>
    <row r="48" customFormat="false" ht="15" hidden="false" customHeight="false" outlineLevel="0" collapsed="false">
      <c r="A48" s="10" t="s">
        <v>159</v>
      </c>
      <c r="B48" s="10" t="s">
        <v>170</v>
      </c>
      <c r="C48" s="10" t="s">
        <v>171</v>
      </c>
      <c r="D48" s="10" t="s">
        <v>172</v>
      </c>
      <c r="E48" s="10" t="s">
        <v>173</v>
      </c>
      <c r="F48" s="10" t="s">
        <v>103</v>
      </c>
      <c r="G48" s="10" t="s">
        <v>97</v>
      </c>
      <c r="H48" s="10" t="s">
        <v>104</v>
      </c>
      <c r="I48" s="27" t="s">
        <v>166</v>
      </c>
      <c r="J48" s="10" t="s">
        <v>20</v>
      </c>
      <c r="K48" s="10" t="s">
        <v>267</v>
      </c>
      <c r="L48" s="10"/>
      <c r="M48" s="10"/>
    </row>
    <row r="49" customFormat="false" ht="15" hidden="false" customHeight="false" outlineLevel="0" collapsed="false">
      <c r="A49" s="10" t="s">
        <v>159</v>
      </c>
      <c r="B49" s="10" t="s">
        <v>170</v>
      </c>
      <c r="C49" s="10" t="s">
        <v>171</v>
      </c>
      <c r="D49" s="10" t="s">
        <v>172</v>
      </c>
      <c r="E49" s="10" t="s">
        <v>173</v>
      </c>
      <c r="F49" s="10" t="s">
        <v>106</v>
      </c>
      <c r="G49" s="10" t="s">
        <v>97</v>
      </c>
      <c r="H49" s="10" t="s">
        <v>107</v>
      </c>
      <c r="I49" s="27" t="s">
        <v>166</v>
      </c>
      <c r="J49" s="10" t="s">
        <v>20</v>
      </c>
      <c r="K49" s="10" t="s">
        <v>267</v>
      </c>
      <c r="L49" s="10"/>
      <c r="M49" s="10"/>
    </row>
    <row r="50" customFormat="false" ht="35.05" hidden="false" customHeight="false" outlineLevel="0" collapsed="false">
      <c r="A50" s="10" t="s">
        <v>159</v>
      </c>
      <c r="B50" s="10" t="s">
        <v>176</v>
      </c>
      <c r="C50" s="10" t="s">
        <v>177</v>
      </c>
      <c r="D50" s="10" t="s">
        <v>178</v>
      </c>
      <c r="E50" s="10" t="s">
        <v>173</v>
      </c>
      <c r="F50" s="10" t="s">
        <v>33</v>
      </c>
      <c r="G50" s="10" t="s">
        <v>34</v>
      </c>
      <c r="H50" s="10" t="s">
        <v>35</v>
      </c>
      <c r="I50" s="28" t="s">
        <v>167</v>
      </c>
      <c r="J50" s="10" t="s">
        <v>12</v>
      </c>
      <c r="K50" s="10" t="s">
        <v>305</v>
      </c>
      <c r="L50" s="10" t="s">
        <v>306</v>
      </c>
      <c r="M50" s="10" t="s">
        <v>307</v>
      </c>
    </row>
    <row r="51" customFormat="false" ht="23.85" hidden="false" customHeight="false" outlineLevel="0" collapsed="false">
      <c r="A51" s="10" t="s">
        <v>159</v>
      </c>
      <c r="B51" s="10" t="s">
        <v>176</v>
      </c>
      <c r="C51" s="10" t="s">
        <v>177</v>
      </c>
      <c r="D51" s="10" t="s">
        <v>178</v>
      </c>
      <c r="E51" s="10" t="s">
        <v>173</v>
      </c>
      <c r="F51" s="10" t="s">
        <v>37</v>
      </c>
      <c r="G51" s="10" t="s">
        <v>34</v>
      </c>
      <c r="H51" s="10" t="s">
        <v>38</v>
      </c>
      <c r="I51" s="28" t="s">
        <v>167</v>
      </c>
      <c r="J51" s="10" t="s">
        <v>12</v>
      </c>
      <c r="K51" s="10" t="s">
        <v>308</v>
      </c>
      <c r="L51" s="10" t="s">
        <v>309</v>
      </c>
      <c r="M51" s="10" t="s">
        <v>310</v>
      </c>
    </row>
    <row r="52" customFormat="false" ht="15" hidden="false" customHeight="false" outlineLevel="0" collapsed="false">
      <c r="A52" s="10" t="s">
        <v>159</v>
      </c>
      <c r="B52" s="10" t="s">
        <v>176</v>
      </c>
      <c r="C52" s="10" t="s">
        <v>177</v>
      </c>
      <c r="D52" s="10" t="s">
        <v>178</v>
      </c>
      <c r="E52" s="10" t="s">
        <v>173</v>
      </c>
      <c r="F52" s="10" t="s">
        <v>40</v>
      </c>
      <c r="G52" s="10" t="s">
        <v>34</v>
      </c>
      <c r="H52" s="10" t="s">
        <v>41</v>
      </c>
      <c r="I52" s="27" t="s">
        <v>166</v>
      </c>
      <c r="J52" s="10" t="s">
        <v>20</v>
      </c>
      <c r="K52" s="10" t="s">
        <v>311</v>
      </c>
      <c r="L52" s="10"/>
      <c r="M52" s="10"/>
    </row>
    <row r="53" customFormat="false" ht="35.05" hidden="false" customHeight="false" outlineLevel="0" collapsed="false">
      <c r="A53" s="10" t="s">
        <v>159</v>
      </c>
      <c r="B53" s="10" t="s">
        <v>176</v>
      </c>
      <c r="C53" s="10" t="s">
        <v>177</v>
      </c>
      <c r="D53" s="10" t="s">
        <v>178</v>
      </c>
      <c r="E53" s="10" t="s">
        <v>173</v>
      </c>
      <c r="F53" s="10" t="s">
        <v>43</v>
      </c>
      <c r="G53" s="10" t="s">
        <v>34</v>
      </c>
      <c r="H53" s="10" t="s">
        <v>44</v>
      </c>
      <c r="I53" s="28" t="s">
        <v>167</v>
      </c>
      <c r="J53" s="10" t="s">
        <v>12</v>
      </c>
      <c r="K53" s="10" t="s">
        <v>312</v>
      </c>
      <c r="L53" s="10" t="s">
        <v>306</v>
      </c>
      <c r="M53" s="10" t="s">
        <v>307</v>
      </c>
    </row>
    <row r="54" customFormat="false" ht="23.85" hidden="false" customHeight="false" outlineLevel="0" collapsed="false">
      <c r="A54" s="10" t="s">
        <v>159</v>
      </c>
      <c r="B54" s="10" t="s">
        <v>176</v>
      </c>
      <c r="C54" s="10" t="s">
        <v>177</v>
      </c>
      <c r="D54" s="10" t="s">
        <v>178</v>
      </c>
      <c r="E54" s="10" t="s">
        <v>173</v>
      </c>
      <c r="F54" s="10" t="s">
        <v>46</v>
      </c>
      <c r="G54" s="10" t="s">
        <v>34</v>
      </c>
      <c r="H54" s="10" t="s">
        <v>47</v>
      </c>
      <c r="I54" s="29" t="s">
        <v>168</v>
      </c>
      <c r="J54" s="10" t="s">
        <v>16</v>
      </c>
      <c r="K54" s="10" t="s">
        <v>313</v>
      </c>
      <c r="L54" s="10" t="s">
        <v>314</v>
      </c>
      <c r="M54" s="10" t="s">
        <v>315</v>
      </c>
    </row>
    <row r="55" customFormat="false" ht="35.05" hidden="false" customHeight="false" outlineLevel="0" collapsed="false">
      <c r="A55" s="10" t="s">
        <v>159</v>
      </c>
      <c r="B55" s="10" t="s">
        <v>176</v>
      </c>
      <c r="C55" s="10" t="s">
        <v>177</v>
      </c>
      <c r="D55" s="10" t="s">
        <v>178</v>
      </c>
      <c r="E55" s="10" t="s">
        <v>173</v>
      </c>
      <c r="F55" s="10" t="s">
        <v>49</v>
      </c>
      <c r="G55" s="10" t="s">
        <v>34</v>
      </c>
      <c r="H55" s="10" t="s">
        <v>50</v>
      </c>
      <c r="I55" s="29" t="s">
        <v>168</v>
      </c>
      <c r="J55" s="10" t="s">
        <v>16</v>
      </c>
      <c r="K55" s="10" t="s">
        <v>316</v>
      </c>
      <c r="L55" s="10" t="s">
        <v>306</v>
      </c>
      <c r="M55" s="10" t="s">
        <v>307</v>
      </c>
    </row>
    <row r="56" customFormat="false" ht="35.05" hidden="false" customHeight="false" outlineLevel="0" collapsed="false">
      <c r="A56" s="10" t="s">
        <v>159</v>
      </c>
      <c r="B56" s="10" t="s">
        <v>176</v>
      </c>
      <c r="C56" s="10" t="s">
        <v>177</v>
      </c>
      <c r="D56" s="10" t="s">
        <v>178</v>
      </c>
      <c r="E56" s="10" t="s">
        <v>173</v>
      </c>
      <c r="F56" s="10" t="s">
        <v>52</v>
      </c>
      <c r="G56" s="10" t="s">
        <v>34</v>
      </c>
      <c r="H56" s="10" t="s">
        <v>53</v>
      </c>
      <c r="I56" s="29" t="s">
        <v>168</v>
      </c>
      <c r="J56" s="10" t="s">
        <v>16</v>
      </c>
      <c r="K56" s="10" t="s">
        <v>317</v>
      </c>
      <c r="L56" s="10" t="s">
        <v>306</v>
      </c>
      <c r="M56" s="10" t="s">
        <v>307</v>
      </c>
    </row>
    <row r="57" customFormat="false" ht="15" hidden="false" customHeight="false" outlineLevel="0" collapsed="false">
      <c r="A57" s="10" t="s">
        <v>159</v>
      </c>
      <c r="B57" s="10" t="s">
        <v>176</v>
      </c>
      <c r="C57" s="10" t="s">
        <v>177</v>
      </c>
      <c r="D57" s="10" t="s">
        <v>178</v>
      </c>
      <c r="E57" s="10" t="s">
        <v>173</v>
      </c>
      <c r="F57" s="10" t="s">
        <v>55</v>
      </c>
      <c r="G57" s="10" t="s">
        <v>34</v>
      </c>
      <c r="H57" s="10" t="s">
        <v>56</v>
      </c>
      <c r="I57" s="27" t="s">
        <v>166</v>
      </c>
      <c r="J57" s="10" t="s">
        <v>20</v>
      </c>
      <c r="K57" s="10" t="s">
        <v>267</v>
      </c>
      <c r="L57" s="10"/>
      <c r="M57" s="10"/>
    </row>
    <row r="58" customFormat="false" ht="15" hidden="false" customHeight="false" outlineLevel="0" collapsed="false">
      <c r="A58" s="10" t="s">
        <v>159</v>
      </c>
      <c r="B58" s="10" t="s">
        <v>176</v>
      </c>
      <c r="C58" s="10" t="s">
        <v>177</v>
      </c>
      <c r="D58" s="10" t="s">
        <v>178</v>
      </c>
      <c r="E58" s="10" t="s">
        <v>173</v>
      </c>
      <c r="F58" s="10" t="s">
        <v>58</v>
      </c>
      <c r="G58" s="10" t="s">
        <v>34</v>
      </c>
      <c r="H58" s="10" t="s">
        <v>59</v>
      </c>
      <c r="I58" s="27" t="s">
        <v>166</v>
      </c>
      <c r="J58" s="10" t="s">
        <v>20</v>
      </c>
      <c r="K58" s="10" t="s">
        <v>267</v>
      </c>
      <c r="L58" s="10"/>
      <c r="M58" s="10"/>
    </row>
    <row r="59" customFormat="false" ht="15" hidden="false" customHeight="false" outlineLevel="0" collapsed="false">
      <c r="A59" s="10" t="s">
        <v>159</v>
      </c>
      <c r="B59" s="10" t="s">
        <v>176</v>
      </c>
      <c r="C59" s="10" t="s">
        <v>177</v>
      </c>
      <c r="D59" s="10" t="s">
        <v>178</v>
      </c>
      <c r="E59" s="10" t="s">
        <v>173</v>
      </c>
      <c r="F59" s="10" t="s">
        <v>61</v>
      </c>
      <c r="G59" s="10" t="s">
        <v>62</v>
      </c>
      <c r="H59" s="10" t="s">
        <v>63</v>
      </c>
      <c r="I59" s="27" t="s">
        <v>166</v>
      </c>
      <c r="J59" s="10" t="s">
        <v>20</v>
      </c>
      <c r="K59" s="10" t="s">
        <v>267</v>
      </c>
      <c r="L59" s="10"/>
      <c r="M59" s="10"/>
    </row>
    <row r="60" customFormat="false" ht="15" hidden="false" customHeight="false" outlineLevel="0" collapsed="false">
      <c r="A60" s="10" t="s">
        <v>159</v>
      </c>
      <c r="B60" s="10" t="s">
        <v>176</v>
      </c>
      <c r="C60" s="10" t="s">
        <v>177</v>
      </c>
      <c r="D60" s="10" t="s">
        <v>178</v>
      </c>
      <c r="E60" s="10" t="s">
        <v>173</v>
      </c>
      <c r="F60" s="10" t="s">
        <v>65</v>
      </c>
      <c r="G60" s="10" t="s">
        <v>62</v>
      </c>
      <c r="H60" s="10" t="s">
        <v>66</v>
      </c>
      <c r="I60" s="27" t="s">
        <v>166</v>
      </c>
      <c r="J60" s="10" t="s">
        <v>20</v>
      </c>
      <c r="K60" s="10" t="s">
        <v>267</v>
      </c>
      <c r="L60" s="10"/>
      <c r="M60" s="10"/>
    </row>
    <row r="61" customFormat="false" ht="15" hidden="false" customHeight="false" outlineLevel="0" collapsed="false">
      <c r="A61" s="10" t="s">
        <v>159</v>
      </c>
      <c r="B61" s="10" t="s">
        <v>176</v>
      </c>
      <c r="C61" s="10" t="s">
        <v>177</v>
      </c>
      <c r="D61" s="10" t="s">
        <v>178</v>
      </c>
      <c r="E61" s="10" t="s">
        <v>173</v>
      </c>
      <c r="F61" s="10" t="s">
        <v>68</v>
      </c>
      <c r="G61" s="10" t="s">
        <v>62</v>
      </c>
      <c r="H61" s="10" t="s">
        <v>69</v>
      </c>
      <c r="I61" s="27" t="s">
        <v>166</v>
      </c>
      <c r="J61" s="10" t="s">
        <v>20</v>
      </c>
      <c r="K61" s="10" t="s">
        <v>267</v>
      </c>
      <c r="L61" s="10"/>
      <c r="M61" s="10"/>
    </row>
    <row r="62" customFormat="false" ht="15" hidden="false" customHeight="false" outlineLevel="0" collapsed="false">
      <c r="A62" s="10" t="s">
        <v>159</v>
      </c>
      <c r="B62" s="10" t="s">
        <v>176</v>
      </c>
      <c r="C62" s="10" t="s">
        <v>177</v>
      </c>
      <c r="D62" s="10" t="s">
        <v>178</v>
      </c>
      <c r="E62" s="10" t="s">
        <v>173</v>
      </c>
      <c r="F62" s="10" t="s">
        <v>71</v>
      </c>
      <c r="G62" s="10" t="s">
        <v>62</v>
      </c>
      <c r="H62" s="10" t="s">
        <v>72</v>
      </c>
      <c r="I62" s="27" t="s">
        <v>166</v>
      </c>
      <c r="J62" s="10" t="s">
        <v>20</v>
      </c>
      <c r="K62" s="10" t="s">
        <v>267</v>
      </c>
      <c r="L62" s="10"/>
      <c r="M62" s="10"/>
    </row>
    <row r="63" customFormat="false" ht="15" hidden="false" customHeight="false" outlineLevel="0" collapsed="false">
      <c r="A63" s="10" t="s">
        <v>159</v>
      </c>
      <c r="B63" s="10" t="s">
        <v>176</v>
      </c>
      <c r="C63" s="10" t="s">
        <v>177</v>
      </c>
      <c r="D63" s="10" t="s">
        <v>178</v>
      </c>
      <c r="E63" s="10" t="s">
        <v>173</v>
      </c>
      <c r="F63" s="10" t="s">
        <v>74</v>
      </c>
      <c r="G63" s="10" t="s">
        <v>62</v>
      </c>
      <c r="H63" s="10" t="s">
        <v>75</v>
      </c>
      <c r="I63" s="27" t="s">
        <v>166</v>
      </c>
      <c r="J63" s="10" t="s">
        <v>20</v>
      </c>
      <c r="K63" s="10" t="s">
        <v>267</v>
      </c>
      <c r="L63" s="10"/>
      <c r="M63" s="10"/>
    </row>
    <row r="64" customFormat="false" ht="15" hidden="false" customHeight="false" outlineLevel="0" collapsed="false">
      <c r="A64" s="10" t="s">
        <v>159</v>
      </c>
      <c r="B64" s="10" t="s">
        <v>176</v>
      </c>
      <c r="C64" s="10" t="s">
        <v>177</v>
      </c>
      <c r="D64" s="10" t="s">
        <v>178</v>
      </c>
      <c r="E64" s="10" t="s">
        <v>173</v>
      </c>
      <c r="F64" s="10" t="s">
        <v>77</v>
      </c>
      <c r="G64" s="10" t="s">
        <v>62</v>
      </c>
      <c r="H64" s="10" t="s">
        <v>78</v>
      </c>
      <c r="I64" s="27" t="s">
        <v>166</v>
      </c>
      <c r="J64" s="10" t="s">
        <v>20</v>
      </c>
      <c r="K64" s="10" t="s">
        <v>267</v>
      </c>
      <c r="L64" s="10"/>
      <c r="M64" s="10"/>
    </row>
    <row r="65" customFormat="false" ht="15" hidden="false" customHeight="false" outlineLevel="0" collapsed="false">
      <c r="A65" s="10" t="s">
        <v>159</v>
      </c>
      <c r="B65" s="10" t="s">
        <v>176</v>
      </c>
      <c r="C65" s="10" t="s">
        <v>177</v>
      </c>
      <c r="D65" s="10" t="s">
        <v>178</v>
      </c>
      <c r="E65" s="10" t="s">
        <v>173</v>
      </c>
      <c r="F65" s="10" t="s">
        <v>80</v>
      </c>
      <c r="G65" s="10" t="s">
        <v>62</v>
      </c>
      <c r="H65" s="10" t="s">
        <v>81</v>
      </c>
      <c r="I65" s="27" t="s">
        <v>166</v>
      </c>
      <c r="J65" s="10" t="s">
        <v>20</v>
      </c>
      <c r="K65" s="10" t="s">
        <v>267</v>
      </c>
      <c r="L65" s="10"/>
      <c r="M65" s="10"/>
    </row>
    <row r="66" customFormat="false" ht="46.25" hidden="false" customHeight="false" outlineLevel="0" collapsed="false">
      <c r="A66" s="10" t="s">
        <v>159</v>
      </c>
      <c r="B66" s="10" t="s">
        <v>176</v>
      </c>
      <c r="C66" s="10" t="s">
        <v>177</v>
      </c>
      <c r="D66" s="10" t="s">
        <v>178</v>
      </c>
      <c r="E66" s="10" t="s">
        <v>173</v>
      </c>
      <c r="F66" s="10" t="s">
        <v>83</v>
      </c>
      <c r="G66" s="10" t="s">
        <v>84</v>
      </c>
      <c r="H66" s="10" t="s">
        <v>85</v>
      </c>
      <c r="I66" s="28" t="s">
        <v>167</v>
      </c>
      <c r="J66" s="10" t="s">
        <v>12</v>
      </c>
      <c r="K66" s="10" t="s">
        <v>318</v>
      </c>
      <c r="L66" s="10" t="s">
        <v>319</v>
      </c>
      <c r="M66" s="10" t="s">
        <v>320</v>
      </c>
    </row>
    <row r="67" customFormat="false" ht="15" hidden="false" customHeight="false" outlineLevel="0" collapsed="false">
      <c r="A67" s="10" t="s">
        <v>159</v>
      </c>
      <c r="B67" s="10" t="s">
        <v>176</v>
      </c>
      <c r="C67" s="10" t="s">
        <v>177</v>
      </c>
      <c r="D67" s="10" t="s">
        <v>178</v>
      </c>
      <c r="E67" s="10" t="s">
        <v>173</v>
      </c>
      <c r="F67" s="10" t="s">
        <v>87</v>
      </c>
      <c r="G67" s="10" t="s">
        <v>84</v>
      </c>
      <c r="H67" s="10" t="s">
        <v>88</v>
      </c>
      <c r="I67" s="27" t="s">
        <v>166</v>
      </c>
      <c r="J67" s="10" t="s">
        <v>20</v>
      </c>
      <c r="K67" s="10" t="s">
        <v>267</v>
      </c>
      <c r="L67" s="10"/>
      <c r="M67" s="10"/>
    </row>
    <row r="68" customFormat="false" ht="15" hidden="false" customHeight="false" outlineLevel="0" collapsed="false">
      <c r="A68" s="10" t="s">
        <v>159</v>
      </c>
      <c r="B68" s="10" t="s">
        <v>176</v>
      </c>
      <c r="C68" s="10" t="s">
        <v>177</v>
      </c>
      <c r="D68" s="10" t="s">
        <v>178</v>
      </c>
      <c r="E68" s="10" t="s">
        <v>173</v>
      </c>
      <c r="F68" s="10" t="s">
        <v>90</v>
      </c>
      <c r="G68" s="10" t="s">
        <v>84</v>
      </c>
      <c r="H68" s="10" t="s">
        <v>91</v>
      </c>
      <c r="I68" s="27" t="s">
        <v>166</v>
      </c>
      <c r="J68" s="10" t="s">
        <v>20</v>
      </c>
      <c r="K68" s="10" t="s">
        <v>267</v>
      </c>
      <c r="L68" s="10"/>
      <c r="M68" s="10"/>
    </row>
    <row r="69" customFormat="false" ht="35.05" hidden="false" customHeight="false" outlineLevel="0" collapsed="false">
      <c r="A69" s="10" t="s">
        <v>159</v>
      </c>
      <c r="B69" s="10" t="s">
        <v>176</v>
      </c>
      <c r="C69" s="10" t="s">
        <v>177</v>
      </c>
      <c r="D69" s="10" t="s">
        <v>178</v>
      </c>
      <c r="E69" s="10" t="s">
        <v>173</v>
      </c>
      <c r="F69" s="10" t="s">
        <v>93</v>
      </c>
      <c r="G69" s="10" t="s">
        <v>84</v>
      </c>
      <c r="H69" s="10" t="s">
        <v>94</v>
      </c>
      <c r="I69" s="28" t="s">
        <v>167</v>
      </c>
      <c r="J69" s="10" t="s">
        <v>12</v>
      </c>
      <c r="K69" s="10" t="s">
        <v>321</v>
      </c>
      <c r="L69" s="10" t="s">
        <v>306</v>
      </c>
      <c r="M69" s="10" t="s">
        <v>307</v>
      </c>
    </row>
    <row r="70" customFormat="false" ht="15" hidden="false" customHeight="false" outlineLevel="0" collapsed="false">
      <c r="A70" s="10" t="s">
        <v>159</v>
      </c>
      <c r="B70" s="10" t="s">
        <v>176</v>
      </c>
      <c r="C70" s="10" t="s">
        <v>177</v>
      </c>
      <c r="D70" s="10" t="s">
        <v>178</v>
      </c>
      <c r="E70" s="10" t="s">
        <v>173</v>
      </c>
      <c r="F70" s="10" t="s">
        <v>96</v>
      </c>
      <c r="G70" s="10" t="s">
        <v>97</v>
      </c>
      <c r="H70" s="10" t="s">
        <v>98</v>
      </c>
      <c r="I70" s="27" t="s">
        <v>166</v>
      </c>
      <c r="J70" s="10" t="s">
        <v>20</v>
      </c>
      <c r="K70" s="10" t="s">
        <v>267</v>
      </c>
      <c r="L70" s="10"/>
      <c r="M70" s="10"/>
    </row>
    <row r="71" customFormat="false" ht="23.85" hidden="false" customHeight="false" outlineLevel="0" collapsed="false">
      <c r="A71" s="10" t="s">
        <v>159</v>
      </c>
      <c r="B71" s="10" t="s">
        <v>176</v>
      </c>
      <c r="C71" s="10" t="s">
        <v>177</v>
      </c>
      <c r="D71" s="10" t="s">
        <v>178</v>
      </c>
      <c r="E71" s="10" t="s">
        <v>173</v>
      </c>
      <c r="F71" s="10" t="s">
        <v>100</v>
      </c>
      <c r="G71" s="10" t="s">
        <v>97</v>
      </c>
      <c r="H71" s="10" t="s">
        <v>101</v>
      </c>
      <c r="I71" s="27" t="s">
        <v>166</v>
      </c>
      <c r="J71" s="10" t="s">
        <v>20</v>
      </c>
      <c r="K71" s="10" t="s">
        <v>267</v>
      </c>
      <c r="L71" s="10"/>
      <c r="M71" s="10"/>
    </row>
    <row r="72" customFormat="false" ht="15" hidden="false" customHeight="false" outlineLevel="0" collapsed="false">
      <c r="A72" s="10" t="s">
        <v>159</v>
      </c>
      <c r="B72" s="10" t="s">
        <v>176</v>
      </c>
      <c r="C72" s="10" t="s">
        <v>177</v>
      </c>
      <c r="D72" s="10" t="s">
        <v>178</v>
      </c>
      <c r="E72" s="10" t="s">
        <v>173</v>
      </c>
      <c r="F72" s="10" t="s">
        <v>103</v>
      </c>
      <c r="G72" s="10" t="s">
        <v>97</v>
      </c>
      <c r="H72" s="10" t="s">
        <v>104</v>
      </c>
      <c r="I72" s="27" t="s">
        <v>166</v>
      </c>
      <c r="J72" s="10" t="s">
        <v>20</v>
      </c>
      <c r="K72" s="10" t="s">
        <v>267</v>
      </c>
      <c r="L72" s="10"/>
      <c r="M72" s="10"/>
    </row>
    <row r="73" customFormat="false" ht="15" hidden="false" customHeight="false" outlineLevel="0" collapsed="false">
      <c r="A73" s="10" t="s">
        <v>159</v>
      </c>
      <c r="B73" s="10" t="s">
        <v>176</v>
      </c>
      <c r="C73" s="10" t="s">
        <v>177</v>
      </c>
      <c r="D73" s="10" t="s">
        <v>178</v>
      </c>
      <c r="E73" s="10" t="s">
        <v>173</v>
      </c>
      <c r="F73" s="10" t="s">
        <v>106</v>
      </c>
      <c r="G73" s="10" t="s">
        <v>97</v>
      </c>
      <c r="H73" s="10" t="s">
        <v>107</v>
      </c>
      <c r="I73" s="27" t="s">
        <v>166</v>
      </c>
      <c r="J73" s="10" t="s">
        <v>20</v>
      </c>
      <c r="K73" s="10" t="s">
        <v>267</v>
      </c>
      <c r="L73" s="10"/>
      <c r="M73" s="10"/>
    </row>
    <row r="74" customFormat="false" ht="35.05" hidden="false" customHeight="false" outlineLevel="0" collapsed="false">
      <c r="A74" s="10" t="s">
        <v>159</v>
      </c>
      <c r="B74" s="10" t="s">
        <v>181</v>
      </c>
      <c r="C74" s="10" t="s">
        <v>182</v>
      </c>
      <c r="D74" s="10" t="s">
        <v>183</v>
      </c>
      <c r="E74" s="10" t="s">
        <v>184</v>
      </c>
      <c r="F74" s="10" t="s">
        <v>33</v>
      </c>
      <c r="G74" s="10" t="s">
        <v>34</v>
      </c>
      <c r="H74" s="10" t="s">
        <v>35</v>
      </c>
      <c r="I74" s="28" t="s">
        <v>167</v>
      </c>
      <c r="J74" s="10" t="s">
        <v>12</v>
      </c>
      <c r="K74" s="10" t="s">
        <v>322</v>
      </c>
      <c r="L74" s="10" t="s">
        <v>323</v>
      </c>
      <c r="M74" s="10" t="s">
        <v>324</v>
      </c>
    </row>
    <row r="75" customFormat="false" ht="23.85" hidden="false" customHeight="false" outlineLevel="0" collapsed="false">
      <c r="A75" s="10" t="s">
        <v>159</v>
      </c>
      <c r="B75" s="10" t="s">
        <v>181</v>
      </c>
      <c r="C75" s="10" t="s">
        <v>182</v>
      </c>
      <c r="D75" s="10" t="s">
        <v>183</v>
      </c>
      <c r="E75" s="10" t="s">
        <v>184</v>
      </c>
      <c r="F75" s="10" t="s">
        <v>37</v>
      </c>
      <c r="G75" s="10" t="s">
        <v>34</v>
      </c>
      <c r="H75" s="10" t="s">
        <v>38</v>
      </c>
      <c r="I75" s="28" t="s">
        <v>167</v>
      </c>
      <c r="J75" s="10" t="s">
        <v>12</v>
      </c>
      <c r="K75" s="10" t="s">
        <v>325</v>
      </c>
      <c r="L75" s="10" t="s">
        <v>326</v>
      </c>
      <c r="M75" s="10" t="s">
        <v>327</v>
      </c>
    </row>
    <row r="76" customFormat="false" ht="23.85" hidden="false" customHeight="false" outlineLevel="0" collapsed="false">
      <c r="A76" s="10" t="s">
        <v>159</v>
      </c>
      <c r="B76" s="10" t="s">
        <v>181</v>
      </c>
      <c r="C76" s="10" t="s">
        <v>182</v>
      </c>
      <c r="D76" s="10" t="s">
        <v>183</v>
      </c>
      <c r="E76" s="10" t="s">
        <v>184</v>
      </c>
      <c r="F76" s="10" t="s">
        <v>40</v>
      </c>
      <c r="G76" s="10" t="s">
        <v>34</v>
      </c>
      <c r="H76" s="10" t="s">
        <v>41</v>
      </c>
      <c r="I76" s="28" t="s">
        <v>167</v>
      </c>
      <c r="J76" s="10" t="s">
        <v>12</v>
      </c>
      <c r="K76" s="10" t="s">
        <v>328</v>
      </c>
      <c r="L76" s="10" t="s">
        <v>326</v>
      </c>
      <c r="M76" s="10" t="s">
        <v>327</v>
      </c>
    </row>
    <row r="77" customFormat="false" ht="35.05" hidden="false" customHeight="false" outlineLevel="0" collapsed="false">
      <c r="A77" s="10" t="s">
        <v>159</v>
      </c>
      <c r="B77" s="10" t="s">
        <v>181</v>
      </c>
      <c r="C77" s="10" t="s">
        <v>182</v>
      </c>
      <c r="D77" s="10" t="s">
        <v>183</v>
      </c>
      <c r="E77" s="10" t="s">
        <v>184</v>
      </c>
      <c r="F77" s="10" t="s">
        <v>43</v>
      </c>
      <c r="G77" s="10" t="s">
        <v>34</v>
      </c>
      <c r="H77" s="10" t="s">
        <v>44</v>
      </c>
      <c r="I77" s="28" t="s">
        <v>167</v>
      </c>
      <c r="J77" s="10" t="s">
        <v>12</v>
      </c>
      <c r="K77" s="10" t="s">
        <v>329</v>
      </c>
      <c r="L77" s="10" t="s">
        <v>330</v>
      </c>
      <c r="M77" s="10" t="s">
        <v>331</v>
      </c>
    </row>
    <row r="78" customFormat="false" ht="23.85" hidden="false" customHeight="false" outlineLevel="0" collapsed="false">
      <c r="A78" s="10" t="s">
        <v>159</v>
      </c>
      <c r="B78" s="10" t="s">
        <v>181</v>
      </c>
      <c r="C78" s="10" t="s">
        <v>182</v>
      </c>
      <c r="D78" s="10" t="s">
        <v>183</v>
      </c>
      <c r="E78" s="10" t="s">
        <v>184</v>
      </c>
      <c r="F78" s="10" t="s">
        <v>46</v>
      </c>
      <c r="G78" s="10" t="s">
        <v>34</v>
      </c>
      <c r="H78" s="10" t="s">
        <v>47</v>
      </c>
      <c r="I78" s="27" t="s">
        <v>166</v>
      </c>
      <c r="J78" s="10" t="s">
        <v>20</v>
      </c>
      <c r="K78" s="10" t="s">
        <v>267</v>
      </c>
      <c r="L78" s="10"/>
      <c r="M78" s="10"/>
    </row>
    <row r="79" customFormat="false" ht="23.85" hidden="false" customHeight="false" outlineLevel="0" collapsed="false">
      <c r="A79" s="10" t="s">
        <v>159</v>
      </c>
      <c r="B79" s="10" t="s">
        <v>181</v>
      </c>
      <c r="C79" s="10" t="s">
        <v>182</v>
      </c>
      <c r="D79" s="10" t="s">
        <v>183</v>
      </c>
      <c r="E79" s="10" t="s">
        <v>184</v>
      </c>
      <c r="F79" s="10" t="s">
        <v>49</v>
      </c>
      <c r="G79" s="10" t="s">
        <v>34</v>
      </c>
      <c r="H79" s="10" t="s">
        <v>50</v>
      </c>
      <c r="I79" s="27" t="s">
        <v>166</v>
      </c>
      <c r="J79" s="10" t="s">
        <v>20</v>
      </c>
      <c r="K79" s="10" t="s">
        <v>267</v>
      </c>
      <c r="L79" s="10"/>
      <c r="M79" s="10"/>
    </row>
    <row r="80" customFormat="false" ht="23.85" hidden="false" customHeight="false" outlineLevel="0" collapsed="false">
      <c r="A80" s="10" t="s">
        <v>159</v>
      </c>
      <c r="B80" s="10" t="s">
        <v>181</v>
      </c>
      <c r="C80" s="10" t="s">
        <v>182</v>
      </c>
      <c r="D80" s="10" t="s">
        <v>183</v>
      </c>
      <c r="E80" s="10" t="s">
        <v>184</v>
      </c>
      <c r="F80" s="10" t="s">
        <v>52</v>
      </c>
      <c r="G80" s="10" t="s">
        <v>34</v>
      </c>
      <c r="H80" s="10" t="s">
        <v>53</v>
      </c>
      <c r="I80" s="28" t="s">
        <v>167</v>
      </c>
      <c r="J80" s="10" t="s">
        <v>12</v>
      </c>
      <c r="K80" s="10" t="s">
        <v>332</v>
      </c>
      <c r="L80" s="10" t="s">
        <v>333</v>
      </c>
      <c r="M80" s="10" t="s">
        <v>334</v>
      </c>
    </row>
    <row r="81" customFormat="false" ht="23.85" hidden="false" customHeight="false" outlineLevel="0" collapsed="false">
      <c r="A81" s="10" t="s">
        <v>159</v>
      </c>
      <c r="B81" s="10" t="s">
        <v>181</v>
      </c>
      <c r="C81" s="10" t="s">
        <v>182</v>
      </c>
      <c r="D81" s="10" t="s">
        <v>183</v>
      </c>
      <c r="E81" s="10" t="s">
        <v>184</v>
      </c>
      <c r="F81" s="10" t="s">
        <v>55</v>
      </c>
      <c r="G81" s="10" t="s">
        <v>34</v>
      </c>
      <c r="H81" s="10" t="s">
        <v>56</v>
      </c>
      <c r="I81" s="27" t="s">
        <v>166</v>
      </c>
      <c r="J81" s="10" t="s">
        <v>20</v>
      </c>
      <c r="K81" s="10" t="s">
        <v>267</v>
      </c>
      <c r="L81" s="10"/>
      <c r="M81" s="10"/>
    </row>
    <row r="82" customFormat="false" ht="23.85" hidden="false" customHeight="false" outlineLevel="0" collapsed="false">
      <c r="A82" s="10" t="s">
        <v>159</v>
      </c>
      <c r="B82" s="10" t="s">
        <v>181</v>
      </c>
      <c r="C82" s="10" t="s">
        <v>182</v>
      </c>
      <c r="D82" s="10" t="s">
        <v>183</v>
      </c>
      <c r="E82" s="10" t="s">
        <v>184</v>
      </c>
      <c r="F82" s="10" t="s">
        <v>58</v>
      </c>
      <c r="G82" s="10" t="s">
        <v>34</v>
      </c>
      <c r="H82" s="10" t="s">
        <v>59</v>
      </c>
      <c r="I82" s="27" t="s">
        <v>166</v>
      </c>
      <c r="J82" s="10" t="s">
        <v>20</v>
      </c>
      <c r="K82" s="10" t="s">
        <v>267</v>
      </c>
      <c r="L82" s="10"/>
      <c r="M82" s="10"/>
    </row>
    <row r="83" customFormat="false" ht="23.85" hidden="false" customHeight="false" outlineLevel="0" collapsed="false">
      <c r="A83" s="10" t="s">
        <v>159</v>
      </c>
      <c r="B83" s="10" t="s">
        <v>181</v>
      </c>
      <c r="C83" s="10" t="s">
        <v>182</v>
      </c>
      <c r="D83" s="10" t="s">
        <v>183</v>
      </c>
      <c r="E83" s="10" t="s">
        <v>184</v>
      </c>
      <c r="F83" s="10" t="s">
        <v>61</v>
      </c>
      <c r="G83" s="10" t="s">
        <v>62</v>
      </c>
      <c r="H83" s="10" t="s">
        <v>63</v>
      </c>
      <c r="I83" s="27" t="s">
        <v>166</v>
      </c>
      <c r="J83" s="10" t="s">
        <v>20</v>
      </c>
      <c r="K83" s="10" t="s">
        <v>267</v>
      </c>
      <c r="L83" s="10"/>
      <c r="M83" s="10"/>
    </row>
    <row r="84" customFormat="false" ht="23.85" hidden="false" customHeight="false" outlineLevel="0" collapsed="false">
      <c r="A84" s="10" t="s">
        <v>159</v>
      </c>
      <c r="B84" s="10" t="s">
        <v>181</v>
      </c>
      <c r="C84" s="10" t="s">
        <v>182</v>
      </c>
      <c r="D84" s="10" t="s">
        <v>183</v>
      </c>
      <c r="E84" s="10" t="s">
        <v>184</v>
      </c>
      <c r="F84" s="10" t="s">
        <v>65</v>
      </c>
      <c r="G84" s="10" t="s">
        <v>62</v>
      </c>
      <c r="H84" s="10" t="s">
        <v>66</v>
      </c>
      <c r="I84" s="27" t="s">
        <v>166</v>
      </c>
      <c r="J84" s="10" t="s">
        <v>20</v>
      </c>
      <c r="K84" s="10" t="s">
        <v>267</v>
      </c>
      <c r="L84" s="10"/>
      <c r="M84" s="10"/>
    </row>
    <row r="85" customFormat="false" ht="23.85" hidden="false" customHeight="false" outlineLevel="0" collapsed="false">
      <c r="A85" s="10" t="s">
        <v>159</v>
      </c>
      <c r="B85" s="10" t="s">
        <v>181</v>
      </c>
      <c r="C85" s="10" t="s">
        <v>182</v>
      </c>
      <c r="D85" s="10" t="s">
        <v>183</v>
      </c>
      <c r="E85" s="10" t="s">
        <v>184</v>
      </c>
      <c r="F85" s="10" t="s">
        <v>68</v>
      </c>
      <c r="G85" s="10" t="s">
        <v>62</v>
      </c>
      <c r="H85" s="10" t="s">
        <v>69</v>
      </c>
      <c r="I85" s="27" t="s">
        <v>166</v>
      </c>
      <c r="J85" s="10" t="s">
        <v>20</v>
      </c>
      <c r="K85" s="10" t="s">
        <v>267</v>
      </c>
      <c r="L85" s="10"/>
      <c r="M85" s="10"/>
    </row>
    <row r="86" customFormat="false" ht="23.85" hidden="false" customHeight="false" outlineLevel="0" collapsed="false">
      <c r="A86" s="10" t="s">
        <v>159</v>
      </c>
      <c r="B86" s="10" t="s">
        <v>181</v>
      </c>
      <c r="C86" s="10" t="s">
        <v>182</v>
      </c>
      <c r="D86" s="10" t="s">
        <v>183</v>
      </c>
      <c r="E86" s="10" t="s">
        <v>184</v>
      </c>
      <c r="F86" s="10" t="s">
        <v>71</v>
      </c>
      <c r="G86" s="10" t="s">
        <v>62</v>
      </c>
      <c r="H86" s="10" t="s">
        <v>72</v>
      </c>
      <c r="I86" s="27" t="s">
        <v>166</v>
      </c>
      <c r="J86" s="10" t="s">
        <v>20</v>
      </c>
      <c r="K86" s="10" t="s">
        <v>267</v>
      </c>
      <c r="L86" s="10"/>
      <c r="M86" s="10"/>
    </row>
    <row r="87" customFormat="false" ht="23.85" hidden="false" customHeight="false" outlineLevel="0" collapsed="false">
      <c r="A87" s="10" t="s">
        <v>159</v>
      </c>
      <c r="B87" s="10" t="s">
        <v>181</v>
      </c>
      <c r="C87" s="10" t="s">
        <v>182</v>
      </c>
      <c r="D87" s="10" t="s">
        <v>183</v>
      </c>
      <c r="E87" s="10" t="s">
        <v>184</v>
      </c>
      <c r="F87" s="10" t="s">
        <v>74</v>
      </c>
      <c r="G87" s="10" t="s">
        <v>62</v>
      </c>
      <c r="H87" s="10" t="s">
        <v>75</v>
      </c>
      <c r="I87" s="27" t="s">
        <v>166</v>
      </c>
      <c r="J87" s="10" t="s">
        <v>20</v>
      </c>
      <c r="K87" s="10" t="s">
        <v>267</v>
      </c>
      <c r="L87" s="10"/>
      <c r="M87" s="10"/>
    </row>
    <row r="88" customFormat="false" ht="23.85" hidden="false" customHeight="false" outlineLevel="0" collapsed="false">
      <c r="A88" s="10" t="s">
        <v>159</v>
      </c>
      <c r="B88" s="10" t="s">
        <v>181</v>
      </c>
      <c r="C88" s="10" t="s">
        <v>182</v>
      </c>
      <c r="D88" s="10" t="s">
        <v>183</v>
      </c>
      <c r="E88" s="10" t="s">
        <v>184</v>
      </c>
      <c r="F88" s="10" t="s">
        <v>77</v>
      </c>
      <c r="G88" s="10" t="s">
        <v>62</v>
      </c>
      <c r="H88" s="10" t="s">
        <v>78</v>
      </c>
      <c r="I88" s="27" t="s">
        <v>166</v>
      </c>
      <c r="J88" s="10" t="s">
        <v>20</v>
      </c>
      <c r="K88" s="10" t="s">
        <v>267</v>
      </c>
      <c r="L88" s="10"/>
      <c r="M88" s="10"/>
    </row>
    <row r="89" customFormat="false" ht="23.85" hidden="false" customHeight="false" outlineLevel="0" collapsed="false">
      <c r="A89" s="10" t="s">
        <v>159</v>
      </c>
      <c r="B89" s="10" t="s">
        <v>181</v>
      </c>
      <c r="C89" s="10" t="s">
        <v>182</v>
      </c>
      <c r="D89" s="10" t="s">
        <v>183</v>
      </c>
      <c r="E89" s="10" t="s">
        <v>184</v>
      </c>
      <c r="F89" s="10" t="s">
        <v>80</v>
      </c>
      <c r="G89" s="10" t="s">
        <v>62</v>
      </c>
      <c r="H89" s="10" t="s">
        <v>81</v>
      </c>
      <c r="I89" s="27" t="s">
        <v>166</v>
      </c>
      <c r="J89" s="10" t="s">
        <v>20</v>
      </c>
      <c r="K89" s="10" t="s">
        <v>267</v>
      </c>
      <c r="L89" s="10"/>
      <c r="M89" s="10"/>
    </row>
    <row r="90" customFormat="false" ht="23.85" hidden="false" customHeight="false" outlineLevel="0" collapsed="false">
      <c r="A90" s="10" t="s">
        <v>159</v>
      </c>
      <c r="B90" s="10" t="s">
        <v>181</v>
      </c>
      <c r="C90" s="10" t="s">
        <v>182</v>
      </c>
      <c r="D90" s="10" t="s">
        <v>183</v>
      </c>
      <c r="E90" s="10" t="s">
        <v>184</v>
      </c>
      <c r="F90" s="10" t="s">
        <v>83</v>
      </c>
      <c r="G90" s="10" t="s">
        <v>84</v>
      </c>
      <c r="H90" s="10" t="s">
        <v>85</v>
      </c>
      <c r="I90" s="28" t="s">
        <v>167</v>
      </c>
      <c r="J90" s="10" t="s">
        <v>12</v>
      </c>
      <c r="K90" s="10" t="s">
        <v>335</v>
      </c>
      <c r="L90" s="10" t="s">
        <v>336</v>
      </c>
      <c r="M90" s="10" t="s">
        <v>337</v>
      </c>
    </row>
    <row r="91" customFormat="false" ht="23.85" hidden="false" customHeight="false" outlineLevel="0" collapsed="false">
      <c r="A91" s="10" t="s">
        <v>159</v>
      </c>
      <c r="B91" s="10" t="s">
        <v>181</v>
      </c>
      <c r="C91" s="10" t="s">
        <v>182</v>
      </c>
      <c r="D91" s="10" t="s">
        <v>183</v>
      </c>
      <c r="E91" s="10" t="s">
        <v>184</v>
      </c>
      <c r="F91" s="10" t="s">
        <v>87</v>
      </c>
      <c r="G91" s="10" t="s">
        <v>84</v>
      </c>
      <c r="H91" s="10" t="s">
        <v>88</v>
      </c>
      <c r="I91" s="28" t="s">
        <v>167</v>
      </c>
      <c r="J91" s="10" t="s">
        <v>12</v>
      </c>
      <c r="K91" s="10" t="s">
        <v>338</v>
      </c>
      <c r="L91" s="10" t="s">
        <v>339</v>
      </c>
      <c r="M91" s="10" t="s">
        <v>340</v>
      </c>
    </row>
    <row r="92" customFormat="false" ht="23.85" hidden="false" customHeight="false" outlineLevel="0" collapsed="false">
      <c r="A92" s="10" t="s">
        <v>159</v>
      </c>
      <c r="B92" s="10" t="s">
        <v>181</v>
      </c>
      <c r="C92" s="10" t="s">
        <v>182</v>
      </c>
      <c r="D92" s="10" t="s">
        <v>183</v>
      </c>
      <c r="E92" s="10" t="s">
        <v>184</v>
      </c>
      <c r="F92" s="10" t="s">
        <v>90</v>
      </c>
      <c r="G92" s="10" t="s">
        <v>84</v>
      </c>
      <c r="H92" s="10" t="s">
        <v>91</v>
      </c>
      <c r="I92" s="28" t="s">
        <v>167</v>
      </c>
      <c r="J92" s="10" t="s">
        <v>12</v>
      </c>
      <c r="K92" s="10" t="s">
        <v>341</v>
      </c>
      <c r="L92" s="10" t="s">
        <v>339</v>
      </c>
      <c r="M92" s="10" t="s">
        <v>340</v>
      </c>
    </row>
    <row r="93" customFormat="false" ht="23.85" hidden="false" customHeight="false" outlineLevel="0" collapsed="false">
      <c r="A93" s="10" t="s">
        <v>159</v>
      </c>
      <c r="B93" s="10" t="s">
        <v>181</v>
      </c>
      <c r="C93" s="10" t="s">
        <v>182</v>
      </c>
      <c r="D93" s="10" t="s">
        <v>183</v>
      </c>
      <c r="E93" s="10" t="s">
        <v>184</v>
      </c>
      <c r="F93" s="10" t="s">
        <v>93</v>
      </c>
      <c r="G93" s="10" t="s">
        <v>84</v>
      </c>
      <c r="H93" s="10" t="s">
        <v>94</v>
      </c>
      <c r="I93" s="28" t="s">
        <v>167</v>
      </c>
      <c r="J93" s="10" t="s">
        <v>12</v>
      </c>
      <c r="K93" s="10" t="s">
        <v>342</v>
      </c>
      <c r="L93" s="10" t="s">
        <v>339</v>
      </c>
      <c r="M93" s="10" t="s">
        <v>340</v>
      </c>
    </row>
    <row r="94" customFormat="false" ht="23.85" hidden="false" customHeight="false" outlineLevel="0" collapsed="false">
      <c r="A94" s="10" t="s">
        <v>159</v>
      </c>
      <c r="B94" s="10" t="s">
        <v>181</v>
      </c>
      <c r="C94" s="10" t="s">
        <v>182</v>
      </c>
      <c r="D94" s="10" t="s">
        <v>183</v>
      </c>
      <c r="E94" s="10" t="s">
        <v>184</v>
      </c>
      <c r="F94" s="10" t="s">
        <v>96</v>
      </c>
      <c r="G94" s="10" t="s">
        <v>97</v>
      </c>
      <c r="H94" s="10" t="s">
        <v>98</v>
      </c>
      <c r="I94" s="27" t="s">
        <v>166</v>
      </c>
      <c r="J94" s="10" t="s">
        <v>20</v>
      </c>
      <c r="K94" s="10" t="s">
        <v>267</v>
      </c>
      <c r="L94" s="10"/>
      <c r="M94" s="10"/>
    </row>
    <row r="95" customFormat="false" ht="23.85" hidden="false" customHeight="false" outlineLevel="0" collapsed="false">
      <c r="A95" s="10" t="s">
        <v>159</v>
      </c>
      <c r="B95" s="10" t="s">
        <v>181</v>
      </c>
      <c r="C95" s="10" t="s">
        <v>182</v>
      </c>
      <c r="D95" s="10" t="s">
        <v>183</v>
      </c>
      <c r="E95" s="10" t="s">
        <v>184</v>
      </c>
      <c r="F95" s="10" t="s">
        <v>100</v>
      </c>
      <c r="G95" s="10" t="s">
        <v>97</v>
      </c>
      <c r="H95" s="10" t="s">
        <v>101</v>
      </c>
      <c r="I95" s="27" t="s">
        <v>166</v>
      </c>
      <c r="J95" s="10" t="s">
        <v>20</v>
      </c>
      <c r="K95" s="10" t="s">
        <v>267</v>
      </c>
      <c r="L95" s="10"/>
      <c r="M95" s="10"/>
    </row>
    <row r="96" customFormat="false" ht="23.85" hidden="false" customHeight="false" outlineLevel="0" collapsed="false">
      <c r="A96" s="10" t="s">
        <v>159</v>
      </c>
      <c r="B96" s="10" t="s">
        <v>181</v>
      </c>
      <c r="C96" s="10" t="s">
        <v>182</v>
      </c>
      <c r="D96" s="10" t="s">
        <v>183</v>
      </c>
      <c r="E96" s="10" t="s">
        <v>184</v>
      </c>
      <c r="F96" s="10" t="s">
        <v>103</v>
      </c>
      <c r="G96" s="10" t="s">
        <v>97</v>
      </c>
      <c r="H96" s="10" t="s">
        <v>104</v>
      </c>
      <c r="I96" s="27" t="s">
        <v>166</v>
      </c>
      <c r="J96" s="10" t="s">
        <v>20</v>
      </c>
      <c r="K96" s="10" t="s">
        <v>267</v>
      </c>
      <c r="L96" s="10"/>
      <c r="M96" s="10"/>
    </row>
    <row r="97" customFormat="false" ht="23.85" hidden="false" customHeight="false" outlineLevel="0" collapsed="false">
      <c r="A97" s="10" t="s">
        <v>159</v>
      </c>
      <c r="B97" s="10" t="s">
        <v>181</v>
      </c>
      <c r="C97" s="10" t="s">
        <v>182</v>
      </c>
      <c r="D97" s="10" t="s">
        <v>183</v>
      </c>
      <c r="E97" s="10" t="s">
        <v>184</v>
      </c>
      <c r="F97" s="10" t="s">
        <v>106</v>
      </c>
      <c r="G97" s="10" t="s">
        <v>97</v>
      </c>
      <c r="H97" s="10" t="s">
        <v>107</v>
      </c>
      <c r="I97" s="27" t="s">
        <v>166</v>
      </c>
      <c r="J97" s="10" t="s">
        <v>20</v>
      </c>
      <c r="K97" s="10" t="s">
        <v>267</v>
      </c>
      <c r="L97" s="10"/>
      <c r="M97" s="10"/>
    </row>
    <row r="98" customFormat="false" ht="23.85" hidden="false" customHeight="false" outlineLevel="0" collapsed="false">
      <c r="A98" s="10" t="s">
        <v>159</v>
      </c>
      <c r="B98" s="10" t="s">
        <v>181</v>
      </c>
      <c r="C98" s="10" t="s">
        <v>186</v>
      </c>
      <c r="D98" s="10" t="s">
        <v>187</v>
      </c>
      <c r="E98" s="10" t="s">
        <v>173</v>
      </c>
      <c r="F98" s="10" t="s">
        <v>33</v>
      </c>
      <c r="G98" s="10" t="s">
        <v>34</v>
      </c>
      <c r="H98" s="10" t="s">
        <v>35</v>
      </c>
      <c r="I98" s="28" t="s">
        <v>167</v>
      </c>
      <c r="J98" s="10" t="s">
        <v>12</v>
      </c>
      <c r="K98" s="10" t="s">
        <v>343</v>
      </c>
      <c r="L98" s="10" t="s">
        <v>344</v>
      </c>
      <c r="M98" s="10" t="s">
        <v>345</v>
      </c>
    </row>
    <row r="99" customFormat="false" ht="23.85" hidden="false" customHeight="false" outlineLevel="0" collapsed="false">
      <c r="A99" s="10" t="s">
        <v>159</v>
      </c>
      <c r="B99" s="10" t="s">
        <v>181</v>
      </c>
      <c r="C99" s="10" t="s">
        <v>186</v>
      </c>
      <c r="D99" s="10" t="s">
        <v>187</v>
      </c>
      <c r="E99" s="10" t="s">
        <v>173</v>
      </c>
      <c r="F99" s="10" t="s">
        <v>37</v>
      </c>
      <c r="G99" s="10" t="s">
        <v>34</v>
      </c>
      <c r="H99" s="10" t="s">
        <v>38</v>
      </c>
      <c r="I99" s="28" t="s">
        <v>167</v>
      </c>
      <c r="J99" s="10" t="s">
        <v>12</v>
      </c>
      <c r="K99" s="10" t="s">
        <v>346</v>
      </c>
      <c r="L99" s="10" t="s">
        <v>344</v>
      </c>
      <c r="M99" s="10" t="s">
        <v>345</v>
      </c>
    </row>
    <row r="100" customFormat="false" ht="23.85" hidden="false" customHeight="false" outlineLevel="0" collapsed="false">
      <c r="A100" s="10" t="s">
        <v>159</v>
      </c>
      <c r="B100" s="10" t="s">
        <v>181</v>
      </c>
      <c r="C100" s="10" t="s">
        <v>186</v>
      </c>
      <c r="D100" s="10" t="s">
        <v>187</v>
      </c>
      <c r="E100" s="10" t="s">
        <v>173</v>
      </c>
      <c r="F100" s="10" t="s">
        <v>40</v>
      </c>
      <c r="G100" s="10" t="s">
        <v>34</v>
      </c>
      <c r="H100" s="10" t="s">
        <v>41</v>
      </c>
      <c r="I100" s="27" t="s">
        <v>166</v>
      </c>
      <c r="J100" s="10" t="s">
        <v>20</v>
      </c>
      <c r="K100" s="10" t="s">
        <v>267</v>
      </c>
      <c r="L100" s="10"/>
      <c r="M100" s="10"/>
    </row>
    <row r="101" customFormat="false" ht="23.85" hidden="false" customHeight="false" outlineLevel="0" collapsed="false">
      <c r="A101" s="10" t="s">
        <v>159</v>
      </c>
      <c r="B101" s="10" t="s">
        <v>181</v>
      </c>
      <c r="C101" s="10" t="s">
        <v>186</v>
      </c>
      <c r="D101" s="10" t="s">
        <v>187</v>
      </c>
      <c r="E101" s="10" t="s">
        <v>173</v>
      </c>
      <c r="F101" s="10" t="s">
        <v>43</v>
      </c>
      <c r="G101" s="10" t="s">
        <v>34</v>
      </c>
      <c r="H101" s="10" t="s">
        <v>44</v>
      </c>
      <c r="I101" s="28" t="s">
        <v>167</v>
      </c>
      <c r="J101" s="10" t="s">
        <v>12</v>
      </c>
      <c r="K101" s="10" t="s">
        <v>347</v>
      </c>
      <c r="L101" s="10" t="s">
        <v>348</v>
      </c>
      <c r="M101" s="10" t="s">
        <v>349</v>
      </c>
    </row>
    <row r="102" customFormat="false" ht="23.85" hidden="false" customHeight="false" outlineLevel="0" collapsed="false">
      <c r="A102" s="10" t="s">
        <v>159</v>
      </c>
      <c r="B102" s="10" t="s">
        <v>181</v>
      </c>
      <c r="C102" s="10" t="s">
        <v>186</v>
      </c>
      <c r="D102" s="10" t="s">
        <v>187</v>
      </c>
      <c r="E102" s="10" t="s">
        <v>173</v>
      </c>
      <c r="F102" s="10" t="s">
        <v>46</v>
      </c>
      <c r="G102" s="10" t="s">
        <v>34</v>
      </c>
      <c r="H102" s="10" t="s">
        <v>47</v>
      </c>
      <c r="I102" s="27" t="s">
        <v>166</v>
      </c>
      <c r="J102" s="10" t="s">
        <v>20</v>
      </c>
      <c r="K102" s="10" t="s">
        <v>267</v>
      </c>
      <c r="L102" s="10"/>
      <c r="M102" s="10"/>
    </row>
    <row r="103" customFormat="false" ht="23.85" hidden="false" customHeight="false" outlineLevel="0" collapsed="false">
      <c r="A103" s="10" t="s">
        <v>159</v>
      </c>
      <c r="B103" s="10" t="s">
        <v>181</v>
      </c>
      <c r="C103" s="10" t="s">
        <v>186</v>
      </c>
      <c r="D103" s="10" t="s">
        <v>187</v>
      </c>
      <c r="E103" s="10" t="s">
        <v>173</v>
      </c>
      <c r="F103" s="10" t="s">
        <v>49</v>
      </c>
      <c r="G103" s="10" t="s">
        <v>34</v>
      </c>
      <c r="H103" s="10" t="s">
        <v>50</v>
      </c>
      <c r="I103" s="27" t="s">
        <v>166</v>
      </c>
      <c r="J103" s="10" t="s">
        <v>20</v>
      </c>
      <c r="K103" s="10" t="s">
        <v>267</v>
      </c>
      <c r="L103" s="10"/>
      <c r="M103" s="10"/>
    </row>
    <row r="104" customFormat="false" ht="23.85" hidden="false" customHeight="false" outlineLevel="0" collapsed="false">
      <c r="A104" s="10" t="s">
        <v>159</v>
      </c>
      <c r="B104" s="10" t="s">
        <v>181</v>
      </c>
      <c r="C104" s="10" t="s">
        <v>186</v>
      </c>
      <c r="D104" s="10" t="s">
        <v>187</v>
      </c>
      <c r="E104" s="10" t="s">
        <v>173</v>
      </c>
      <c r="F104" s="10" t="s">
        <v>52</v>
      </c>
      <c r="G104" s="10" t="s">
        <v>34</v>
      </c>
      <c r="H104" s="10" t="s">
        <v>53</v>
      </c>
      <c r="I104" s="29" t="s">
        <v>168</v>
      </c>
      <c r="J104" s="10" t="s">
        <v>16</v>
      </c>
      <c r="K104" s="10" t="s">
        <v>350</v>
      </c>
      <c r="L104" s="10" t="s">
        <v>344</v>
      </c>
      <c r="M104" s="10" t="s">
        <v>345</v>
      </c>
    </row>
    <row r="105" customFormat="false" ht="23.85" hidden="false" customHeight="false" outlineLevel="0" collapsed="false">
      <c r="A105" s="10" t="s">
        <v>159</v>
      </c>
      <c r="B105" s="10" t="s">
        <v>181</v>
      </c>
      <c r="C105" s="10" t="s">
        <v>186</v>
      </c>
      <c r="D105" s="10" t="s">
        <v>187</v>
      </c>
      <c r="E105" s="10" t="s">
        <v>173</v>
      </c>
      <c r="F105" s="10" t="s">
        <v>55</v>
      </c>
      <c r="G105" s="10" t="s">
        <v>34</v>
      </c>
      <c r="H105" s="10" t="s">
        <v>56</v>
      </c>
      <c r="I105" s="27" t="s">
        <v>166</v>
      </c>
      <c r="J105" s="10" t="s">
        <v>20</v>
      </c>
      <c r="K105" s="10" t="s">
        <v>267</v>
      </c>
      <c r="L105" s="10"/>
      <c r="M105" s="10"/>
    </row>
    <row r="106" customFormat="false" ht="23.85" hidden="false" customHeight="false" outlineLevel="0" collapsed="false">
      <c r="A106" s="10" t="s">
        <v>159</v>
      </c>
      <c r="B106" s="10" t="s">
        <v>181</v>
      </c>
      <c r="C106" s="10" t="s">
        <v>186</v>
      </c>
      <c r="D106" s="10" t="s">
        <v>187</v>
      </c>
      <c r="E106" s="10" t="s">
        <v>173</v>
      </c>
      <c r="F106" s="10" t="s">
        <v>58</v>
      </c>
      <c r="G106" s="10" t="s">
        <v>34</v>
      </c>
      <c r="H106" s="10" t="s">
        <v>59</v>
      </c>
      <c r="I106" s="27" t="s">
        <v>166</v>
      </c>
      <c r="J106" s="10" t="s">
        <v>20</v>
      </c>
      <c r="K106" s="10" t="s">
        <v>267</v>
      </c>
      <c r="L106" s="10"/>
      <c r="M106" s="10"/>
    </row>
    <row r="107" customFormat="false" ht="23.85" hidden="false" customHeight="false" outlineLevel="0" collapsed="false">
      <c r="A107" s="10" t="s">
        <v>159</v>
      </c>
      <c r="B107" s="10" t="s">
        <v>181</v>
      </c>
      <c r="C107" s="10" t="s">
        <v>186</v>
      </c>
      <c r="D107" s="10" t="s">
        <v>187</v>
      </c>
      <c r="E107" s="10" t="s">
        <v>173</v>
      </c>
      <c r="F107" s="10" t="s">
        <v>61</v>
      </c>
      <c r="G107" s="10" t="s">
        <v>62</v>
      </c>
      <c r="H107" s="10" t="s">
        <v>63</v>
      </c>
      <c r="I107" s="27" t="s">
        <v>166</v>
      </c>
      <c r="J107" s="10" t="s">
        <v>20</v>
      </c>
      <c r="K107" s="10" t="s">
        <v>267</v>
      </c>
      <c r="L107" s="10"/>
      <c r="M107" s="10"/>
    </row>
    <row r="108" customFormat="false" ht="23.85" hidden="false" customHeight="false" outlineLevel="0" collapsed="false">
      <c r="A108" s="10" t="s">
        <v>159</v>
      </c>
      <c r="B108" s="10" t="s">
        <v>181</v>
      </c>
      <c r="C108" s="10" t="s">
        <v>186</v>
      </c>
      <c r="D108" s="10" t="s">
        <v>187</v>
      </c>
      <c r="E108" s="10" t="s">
        <v>173</v>
      </c>
      <c r="F108" s="10" t="s">
        <v>65</v>
      </c>
      <c r="G108" s="10" t="s">
        <v>62</v>
      </c>
      <c r="H108" s="10" t="s">
        <v>66</v>
      </c>
      <c r="I108" s="27" t="s">
        <v>166</v>
      </c>
      <c r="J108" s="10" t="s">
        <v>20</v>
      </c>
      <c r="K108" s="10" t="s">
        <v>267</v>
      </c>
      <c r="L108" s="10"/>
      <c r="M108" s="10"/>
    </row>
    <row r="109" customFormat="false" ht="23.85" hidden="false" customHeight="false" outlineLevel="0" collapsed="false">
      <c r="A109" s="10" t="s">
        <v>159</v>
      </c>
      <c r="B109" s="10" t="s">
        <v>181</v>
      </c>
      <c r="C109" s="10" t="s">
        <v>186</v>
      </c>
      <c r="D109" s="10" t="s">
        <v>187</v>
      </c>
      <c r="E109" s="10" t="s">
        <v>173</v>
      </c>
      <c r="F109" s="10" t="s">
        <v>68</v>
      </c>
      <c r="G109" s="10" t="s">
        <v>62</v>
      </c>
      <c r="H109" s="10" t="s">
        <v>69</v>
      </c>
      <c r="I109" s="27" t="s">
        <v>166</v>
      </c>
      <c r="J109" s="10" t="s">
        <v>20</v>
      </c>
      <c r="K109" s="10" t="s">
        <v>267</v>
      </c>
      <c r="L109" s="10"/>
      <c r="M109" s="10"/>
    </row>
    <row r="110" customFormat="false" ht="23.85" hidden="false" customHeight="false" outlineLevel="0" collapsed="false">
      <c r="A110" s="10" t="s">
        <v>159</v>
      </c>
      <c r="B110" s="10" t="s">
        <v>181</v>
      </c>
      <c r="C110" s="10" t="s">
        <v>186</v>
      </c>
      <c r="D110" s="10" t="s">
        <v>187</v>
      </c>
      <c r="E110" s="10" t="s">
        <v>173</v>
      </c>
      <c r="F110" s="10" t="s">
        <v>71</v>
      </c>
      <c r="G110" s="10" t="s">
        <v>62</v>
      </c>
      <c r="H110" s="10" t="s">
        <v>72</v>
      </c>
      <c r="I110" s="27" t="s">
        <v>166</v>
      </c>
      <c r="J110" s="10" t="s">
        <v>20</v>
      </c>
      <c r="K110" s="10" t="s">
        <v>267</v>
      </c>
      <c r="L110" s="10"/>
      <c r="M110" s="10"/>
    </row>
    <row r="111" customFormat="false" ht="23.85" hidden="false" customHeight="false" outlineLevel="0" collapsed="false">
      <c r="A111" s="10" t="s">
        <v>159</v>
      </c>
      <c r="B111" s="10" t="s">
        <v>181</v>
      </c>
      <c r="C111" s="10" t="s">
        <v>186</v>
      </c>
      <c r="D111" s="10" t="s">
        <v>187</v>
      </c>
      <c r="E111" s="10" t="s">
        <v>173</v>
      </c>
      <c r="F111" s="10" t="s">
        <v>74</v>
      </c>
      <c r="G111" s="10" t="s">
        <v>62</v>
      </c>
      <c r="H111" s="10" t="s">
        <v>75</v>
      </c>
      <c r="I111" s="27" t="s">
        <v>166</v>
      </c>
      <c r="J111" s="10" t="s">
        <v>20</v>
      </c>
      <c r="K111" s="10" t="s">
        <v>267</v>
      </c>
      <c r="L111" s="10"/>
      <c r="M111" s="10"/>
    </row>
    <row r="112" customFormat="false" ht="23.85" hidden="false" customHeight="false" outlineLevel="0" collapsed="false">
      <c r="A112" s="10" t="s">
        <v>159</v>
      </c>
      <c r="B112" s="10" t="s">
        <v>181</v>
      </c>
      <c r="C112" s="10" t="s">
        <v>186</v>
      </c>
      <c r="D112" s="10" t="s">
        <v>187</v>
      </c>
      <c r="E112" s="10" t="s">
        <v>173</v>
      </c>
      <c r="F112" s="10" t="s">
        <v>77</v>
      </c>
      <c r="G112" s="10" t="s">
        <v>62</v>
      </c>
      <c r="H112" s="10" t="s">
        <v>78</v>
      </c>
      <c r="I112" s="27" t="s">
        <v>166</v>
      </c>
      <c r="J112" s="10" t="s">
        <v>20</v>
      </c>
      <c r="K112" s="10" t="s">
        <v>267</v>
      </c>
      <c r="L112" s="10"/>
      <c r="M112" s="10"/>
    </row>
    <row r="113" customFormat="false" ht="23.85" hidden="false" customHeight="false" outlineLevel="0" collapsed="false">
      <c r="A113" s="10" t="s">
        <v>159</v>
      </c>
      <c r="B113" s="10" t="s">
        <v>181</v>
      </c>
      <c r="C113" s="10" t="s">
        <v>186</v>
      </c>
      <c r="D113" s="10" t="s">
        <v>187</v>
      </c>
      <c r="E113" s="10" t="s">
        <v>173</v>
      </c>
      <c r="F113" s="10" t="s">
        <v>80</v>
      </c>
      <c r="G113" s="10" t="s">
        <v>62</v>
      </c>
      <c r="H113" s="10" t="s">
        <v>81</v>
      </c>
      <c r="I113" s="27" t="s">
        <v>166</v>
      </c>
      <c r="J113" s="10" t="s">
        <v>20</v>
      </c>
      <c r="K113" s="10" t="s">
        <v>267</v>
      </c>
      <c r="L113" s="10"/>
      <c r="M113" s="10"/>
    </row>
    <row r="114" customFormat="false" ht="35.05" hidden="false" customHeight="false" outlineLevel="0" collapsed="false">
      <c r="A114" s="10" t="s">
        <v>159</v>
      </c>
      <c r="B114" s="10" t="s">
        <v>181</v>
      </c>
      <c r="C114" s="10" t="s">
        <v>186</v>
      </c>
      <c r="D114" s="10" t="s">
        <v>187</v>
      </c>
      <c r="E114" s="10" t="s">
        <v>173</v>
      </c>
      <c r="F114" s="10" t="s">
        <v>83</v>
      </c>
      <c r="G114" s="10" t="s">
        <v>84</v>
      </c>
      <c r="H114" s="10" t="s">
        <v>85</v>
      </c>
      <c r="I114" s="28" t="s">
        <v>167</v>
      </c>
      <c r="J114" s="10" t="s">
        <v>12</v>
      </c>
      <c r="K114" s="10" t="s">
        <v>351</v>
      </c>
      <c r="L114" s="10" t="s">
        <v>352</v>
      </c>
      <c r="M114" s="10" t="s">
        <v>353</v>
      </c>
    </row>
    <row r="115" customFormat="false" ht="23.85" hidden="false" customHeight="false" outlineLevel="0" collapsed="false">
      <c r="A115" s="10" t="s">
        <v>159</v>
      </c>
      <c r="B115" s="10" t="s">
        <v>181</v>
      </c>
      <c r="C115" s="10" t="s">
        <v>186</v>
      </c>
      <c r="D115" s="10" t="s">
        <v>187</v>
      </c>
      <c r="E115" s="10" t="s">
        <v>173</v>
      </c>
      <c r="F115" s="10" t="s">
        <v>87</v>
      </c>
      <c r="G115" s="10" t="s">
        <v>84</v>
      </c>
      <c r="H115" s="10" t="s">
        <v>88</v>
      </c>
      <c r="I115" s="27" t="s">
        <v>166</v>
      </c>
      <c r="J115" s="10" t="s">
        <v>20</v>
      </c>
      <c r="K115" s="10" t="s">
        <v>267</v>
      </c>
      <c r="L115" s="10"/>
      <c r="M115" s="10"/>
    </row>
    <row r="116" customFormat="false" ht="23.85" hidden="false" customHeight="false" outlineLevel="0" collapsed="false">
      <c r="A116" s="10" t="s">
        <v>159</v>
      </c>
      <c r="B116" s="10" t="s">
        <v>181</v>
      </c>
      <c r="C116" s="10" t="s">
        <v>186</v>
      </c>
      <c r="D116" s="10" t="s">
        <v>187</v>
      </c>
      <c r="E116" s="10" t="s">
        <v>173</v>
      </c>
      <c r="F116" s="10" t="s">
        <v>90</v>
      </c>
      <c r="G116" s="10" t="s">
        <v>84</v>
      </c>
      <c r="H116" s="10" t="s">
        <v>91</v>
      </c>
      <c r="I116" s="27" t="s">
        <v>166</v>
      </c>
      <c r="J116" s="10" t="s">
        <v>20</v>
      </c>
      <c r="K116" s="10" t="s">
        <v>267</v>
      </c>
      <c r="L116" s="10"/>
      <c r="M116" s="10"/>
    </row>
    <row r="117" customFormat="false" ht="23.85" hidden="false" customHeight="false" outlineLevel="0" collapsed="false">
      <c r="A117" s="10" t="s">
        <v>159</v>
      </c>
      <c r="B117" s="10" t="s">
        <v>181</v>
      </c>
      <c r="C117" s="10" t="s">
        <v>186</v>
      </c>
      <c r="D117" s="10" t="s">
        <v>187</v>
      </c>
      <c r="E117" s="10" t="s">
        <v>173</v>
      </c>
      <c r="F117" s="10" t="s">
        <v>93</v>
      </c>
      <c r="G117" s="10" t="s">
        <v>84</v>
      </c>
      <c r="H117" s="10" t="s">
        <v>94</v>
      </c>
      <c r="I117" s="27" t="s">
        <v>166</v>
      </c>
      <c r="J117" s="10" t="s">
        <v>20</v>
      </c>
      <c r="K117" s="10" t="s">
        <v>267</v>
      </c>
      <c r="L117" s="10"/>
      <c r="M117" s="10"/>
    </row>
    <row r="118" customFormat="false" ht="23.85" hidden="false" customHeight="false" outlineLevel="0" collapsed="false">
      <c r="A118" s="10" t="s">
        <v>159</v>
      </c>
      <c r="B118" s="10" t="s">
        <v>181</v>
      </c>
      <c r="C118" s="10" t="s">
        <v>186</v>
      </c>
      <c r="D118" s="10" t="s">
        <v>187</v>
      </c>
      <c r="E118" s="10" t="s">
        <v>173</v>
      </c>
      <c r="F118" s="10" t="s">
        <v>96</v>
      </c>
      <c r="G118" s="10" t="s">
        <v>97</v>
      </c>
      <c r="H118" s="10" t="s">
        <v>98</v>
      </c>
      <c r="I118" s="27" t="s">
        <v>166</v>
      </c>
      <c r="J118" s="10" t="s">
        <v>20</v>
      </c>
      <c r="K118" s="10" t="s">
        <v>267</v>
      </c>
      <c r="L118" s="10"/>
      <c r="M118" s="10"/>
    </row>
    <row r="119" customFormat="false" ht="23.85" hidden="false" customHeight="false" outlineLevel="0" collapsed="false">
      <c r="A119" s="10" t="s">
        <v>159</v>
      </c>
      <c r="B119" s="10" t="s">
        <v>181</v>
      </c>
      <c r="C119" s="10" t="s">
        <v>186</v>
      </c>
      <c r="D119" s="10" t="s">
        <v>187</v>
      </c>
      <c r="E119" s="10" t="s">
        <v>173</v>
      </c>
      <c r="F119" s="10" t="s">
        <v>100</v>
      </c>
      <c r="G119" s="10" t="s">
        <v>97</v>
      </c>
      <c r="H119" s="10" t="s">
        <v>101</v>
      </c>
      <c r="I119" s="27" t="s">
        <v>166</v>
      </c>
      <c r="J119" s="10" t="s">
        <v>20</v>
      </c>
      <c r="K119" s="10" t="s">
        <v>267</v>
      </c>
      <c r="L119" s="10"/>
      <c r="M119" s="10"/>
    </row>
    <row r="120" customFormat="false" ht="23.85" hidden="false" customHeight="false" outlineLevel="0" collapsed="false">
      <c r="A120" s="10" t="s">
        <v>159</v>
      </c>
      <c r="B120" s="10" t="s">
        <v>181</v>
      </c>
      <c r="C120" s="10" t="s">
        <v>186</v>
      </c>
      <c r="D120" s="10" t="s">
        <v>187</v>
      </c>
      <c r="E120" s="10" t="s">
        <v>173</v>
      </c>
      <c r="F120" s="10" t="s">
        <v>103</v>
      </c>
      <c r="G120" s="10" t="s">
        <v>97</v>
      </c>
      <c r="H120" s="10" t="s">
        <v>104</v>
      </c>
      <c r="I120" s="27" t="s">
        <v>166</v>
      </c>
      <c r="J120" s="10" t="s">
        <v>20</v>
      </c>
      <c r="K120" s="10" t="s">
        <v>267</v>
      </c>
      <c r="L120" s="10"/>
      <c r="M120" s="10"/>
    </row>
    <row r="121" customFormat="false" ht="23.85" hidden="false" customHeight="false" outlineLevel="0" collapsed="false">
      <c r="A121" s="10" t="s">
        <v>159</v>
      </c>
      <c r="B121" s="10" t="s">
        <v>181</v>
      </c>
      <c r="C121" s="10" t="s">
        <v>186</v>
      </c>
      <c r="D121" s="10" t="s">
        <v>187</v>
      </c>
      <c r="E121" s="10" t="s">
        <v>173</v>
      </c>
      <c r="F121" s="10" t="s">
        <v>106</v>
      </c>
      <c r="G121" s="10" t="s">
        <v>97</v>
      </c>
      <c r="H121" s="10" t="s">
        <v>107</v>
      </c>
      <c r="I121" s="27" t="s">
        <v>166</v>
      </c>
      <c r="J121" s="10" t="s">
        <v>20</v>
      </c>
      <c r="K121" s="10" t="s">
        <v>267</v>
      </c>
      <c r="L121" s="10"/>
      <c r="M121" s="10"/>
    </row>
    <row r="122" customFormat="false" ht="23.85" hidden="false" customHeight="false" outlineLevel="0" collapsed="false">
      <c r="A122" s="10" t="s">
        <v>190</v>
      </c>
      <c r="B122" s="10" t="s">
        <v>191</v>
      </c>
      <c r="C122" s="10" t="s">
        <v>192</v>
      </c>
      <c r="D122" s="10" t="s">
        <v>193</v>
      </c>
      <c r="E122" s="10" t="s">
        <v>194</v>
      </c>
      <c r="F122" s="10" t="s">
        <v>33</v>
      </c>
      <c r="G122" s="10" t="s">
        <v>34</v>
      </c>
      <c r="H122" s="10" t="s">
        <v>35</v>
      </c>
      <c r="I122" s="27" t="s">
        <v>166</v>
      </c>
      <c r="J122" s="10" t="s">
        <v>20</v>
      </c>
      <c r="K122" s="10" t="s">
        <v>267</v>
      </c>
      <c r="L122" s="10"/>
      <c r="M122" s="10"/>
    </row>
    <row r="123" customFormat="false" ht="23.85" hidden="false" customHeight="false" outlineLevel="0" collapsed="false">
      <c r="A123" s="10" t="s">
        <v>190</v>
      </c>
      <c r="B123" s="10" t="s">
        <v>191</v>
      </c>
      <c r="C123" s="10" t="s">
        <v>192</v>
      </c>
      <c r="D123" s="10" t="s">
        <v>193</v>
      </c>
      <c r="E123" s="10" t="s">
        <v>194</v>
      </c>
      <c r="F123" s="10" t="s">
        <v>37</v>
      </c>
      <c r="G123" s="10" t="s">
        <v>34</v>
      </c>
      <c r="H123" s="10" t="s">
        <v>38</v>
      </c>
      <c r="I123" s="27" t="s">
        <v>166</v>
      </c>
      <c r="J123" s="10" t="s">
        <v>20</v>
      </c>
      <c r="K123" s="10" t="s">
        <v>267</v>
      </c>
      <c r="L123" s="10"/>
      <c r="M123" s="10"/>
    </row>
    <row r="124" customFormat="false" ht="23.85" hidden="false" customHeight="false" outlineLevel="0" collapsed="false">
      <c r="A124" s="10" t="s">
        <v>190</v>
      </c>
      <c r="B124" s="10" t="s">
        <v>191</v>
      </c>
      <c r="C124" s="10" t="s">
        <v>192</v>
      </c>
      <c r="D124" s="10" t="s">
        <v>193</v>
      </c>
      <c r="E124" s="10" t="s">
        <v>194</v>
      </c>
      <c r="F124" s="10" t="s">
        <v>40</v>
      </c>
      <c r="G124" s="10" t="s">
        <v>34</v>
      </c>
      <c r="H124" s="10" t="s">
        <v>41</v>
      </c>
      <c r="I124" s="27" t="s">
        <v>166</v>
      </c>
      <c r="J124" s="10" t="s">
        <v>20</v>
      </c>
      <c r="K124" s="10" t="s">
        <v>267</v>
      </c>
      <c r="L124" s="10"/>
      <c r="M124" s="10"/>
    </row>
    <row r="125" customFormat="false" ht="23.85" hidden="false" customHeight="false" outlineLevel="0" collapsed="false">
      <c r="A125" s="10" t="s">
        <v>190</v>
      </c>
      <c r="B125" s="10" t="s">
        <v>191</v>
      </c>
      <c r="C125" s="10" t="s">
        <v>192</v>
      </c>
      <c r="D125" s="10" t="s">
        <v>193</v>
      </c>
      <c r="E125" s="10" t="s">
        <v>194</v>
      </c>
      <c r="F125" s="10" t="s">
        <v>43</v>
      </c>
      <c r="G125" s="10" t="s">
        <v>34</v>
      </c>
      <c r="H125" s="10" t="s">
        <v>44</v>
      </c>
      <c r="I125" s="27" t="s">
        <v>166</v>
      </c>
      <c r="J125" s="10" t="s">
        <v>20</v>
      </c>
      <c r="K125" s="10" t="s">
        <v>267</v>
      </c>
      <c r="L125" s="10"/>
      <c r="M125" s="10"/>
    </row>
    <row r="126" customFormat="false" ht="23.85" hidden="false" customHeight="false" outlineLevel="0" collapsed="false">
      <c r="A126" s="10" t="s">
        <v>190</v>
      </c>
      <c r="B126" s="10" t="s">
        <v>191</v>
      </c>
      <c r="C126" s="10" t="s">
        <v>192</v>
      </c>
      <c r="D126" s="10" t="s">
        <v>193</v>
      </c>
      <c r="E126" s="10" t="s">
        <v>194</v>
      </c>
      <c r="F126" s="10" t="s">
        <v>46</v>
      </c>
      <c r="G126" s="10" t="s">
        <v>34</v>
      </c>
      <c r="H126" s="10" t="s">
        <v>47</v>
      </c>
      <c r="I126" s="27" t="s">
        <v>166</v>
      </c>
      <c r="J126" s="10" t="s">
        <v>20</v>
      </c>
      <c r="K126" s="10" t="s">
        <v>267</v>
      </c>
      <c r="L126" s="10"/>
      <c r="M126" s="10"/>
    </row>
    <row r="127" customFormat="false" ht="23.85" hidden="false" customHeight="false" outlineLevel="0" collapsed="false">
      <c r="A127" s="10" t="s">
        <v>190</v>
      </c>
      <c r="B127" s="10" t="s">
        <v>191</v>
      </c>
      <c r="C127" s="10" t="s">
        <v>192</v>
      </c>
      <c r="D127" s="10" t="s">
        <v>193</v>
      </c>
      <c r="E127" s="10" t="s">
        <v>194</v>
      </c>
      <c r="F127" s="10" t="s">
        <v>49</v>
      </c>
      <c r="G127" s="10" t="s">
        <v>34</v>
      </c>
      <c r="H127" s="10" t="s">
        <v>50</v>
      </c>
      <c r="I127" s="27" t="s">
        <v>166</v>
      </c>
      <c r="J127" s="10" t="s">
        <v>20</v>
      </c>
      <c r="K127" s="10" t="s">
        <v>267</v>
      </c>
      <c r="L127" s="10"/>
      <c r="M127" s="10"/>
    </row>
    <row r="128" customFormat="false" ht="23.85" hidden="false" customHeight="false" outlineLevel="0" collapsed="false">
      <c r="A128" s="10" t="s">
        <v>190</v>
      </c>
      <c r="B128" s="10" t="s">
        <v>191</v>
      </c>
      <c r="C128" s="10" t="s">
        <v>192</v>
      </c>
      <c r="D128" s="10" t="s">
        <v>193</v>
      </c>
      <c r="E128" s="10" t="s">
        <v>194</v>
      </c>
      <c r="F128" s="10" t="s">
        <v>52</v>
      </c>
      <c r="G128" s="10" t="s">
        <v>34</v>
      </c>
      <c r="H128" s="10" t="s">
        <v>53</v>
      </c>
      <c r="I128" s="28" t="s">
        <v>167</v>
      </c>
      <c r="J128" s="10" t="s">
        <v>12</v>
      </c>
      <c r="K128" s="10" t="s">
        <v>354</v>
      </c>
      <c r="L128" s="10" t="s">
        <v>355</v>
      </c>
      <c r="M128" s="10" t="s">
        <v>356</v>
      </c>
    </row>
    <row r="129" customFormat="false" ht="23.85" hidden="false" customHeight="false" outlineLevel="0" collapsed="false">
      <c r="A129" s="10" t="s">
        <v>190</v>
      </c>
      <c r="B129" s="10" t="s">
        <v>191</v>
      </c>
      <c r="C129" s="10" t="s">
        <v>192</v>
      </c>
      <c r="D129" s="10" t="s">
        <v>193</v>
      </c>
      <c r="E129" s="10" t="s">
        <v>194</v>
      </c>
      <c r="F129" s="10" t="s">
        <v>55</v>
      </c>
      <c r="G129" s="10" t="s">
        <v>34</v>
      </c>
      <c r="H129" s="10" t="s">
        <v>56</v>
      </c>
      <c r="I129" s="28" t="s">
        <v>167</v>
      </c>
      <c r="J129" s="10" t="s">
        <v>12</v>
      </c>
      <c r="K129" s="10" t="s">
        <v>357</v>
      </c>
      <c r="L129" s="10" t="s">
        <v>355</v>
      </c>
      <c r="M129" s="10" t="s">
        <v>356</v>
      </c>
    </row>
    <row r="130" customFormat="false" ht="23.85" hidden="false" customHeight="false" outlineLevel="0" collapsed="false">
      <c r="A130" s="10" t="s">
        <v>190</v>
      </c>
      <c r="B130" s="10" t="s">
        <v>191</v>
      </c>
      <c r="C130" s="10" t="s">
        <v>192</v>
      </c>
      <c r="D130" s="10" t="s">
        <v>193</v>
      </c>
      <c r="E130" s="10" t="s">
        <v>194</v>
      </c>
      <c r="F130" s="10" t="s">
        <v>58</v>
      </c>
      <c r="G130" s="10" t="s">
        <v>34</v>
      </c>
      <c r="H130" s="10" t="s">
        <v>59</v>
      </c>
      <c r="I130" s="27" t="s">
        <v>166</v>
      </c>
      <c r="J130" s="10" t="s">
        <v>20</v>
      </c>
      <c r="K130" s="10" t="s">
        <v>267</v>
      </c>
      <c r="L130" s="10"/>
      <c r="M130" s="10"/>
    </row>
    <row r="131" customFormat="false" ht="23.85" hidden="false" customHeight="false" outlineLevel="0" collapsed="false">
      <c r="A131" s="10" t="s">
        <v>190</v>
      </c>
      <c r="B131" s="10" t="s">
        <v>191</v>
      </c>
      <c r="C131" s="10" t="s">
        <v>192</v>
      </c>
      <c r="D131" s="10" t="s">
        <v>193</v>
      </c>
      <c r="E131" s="10" t="s">
        <v>194</v>
      </c>
      <c r="F131" s="10" t="s">
        <v>61</v>
      </c>
      <c r="G131" s="10" t="s">
        <v>62</v>
      </c>
      <c r="H131" s="10" t="s">
        <v>63</v>
      </c>
      <c r="I131" s="28" t="s">
        <v>167</v>
      </c>
      <c r="J131" s="10" t="s">
        <v>12</v>
      </c>
      <c r="K131" s="10" t="s">
        <v>358</v>
      </c>
      <c r="L131" s="10" t="s">
        <v>359</v>
      </c>
      <c r="M131" s="10" t="s">
        <v>360</v>
      </c>
    </row>
    <row r="132" customFormat="false" ht="23.85" hidden="false" customHeight="false" outlineLevel="0" collapsed="false">
      <c r="A132" s="10" t="s">
        <v>190</v>
      </c>
      <c r="B132" s="10" t="s">
        <v>191</v>
      </c>
      <c r="C132" s="10" t="s">
        <v>192</v>
      </c>
      <c r="D132" s="10" t="s">
        <v>193</v>
      </c>
      <c r="E132" s="10" t="s">
        <v>194</v>
      </c>
      <c r="F132" s="10" t="s">
        <v>65</v>
      </c>
      <c r="G132" s="10" t="s">
        <v>62</v>
      </c>
      <c r="H132" s="10" t="s">
        <v>66</v>
      </c>
      <c r="I132" s="28" t="s">
        <v>167</v>
      </c>
      <c r="J132" s="10" t="s">
        <v>12</v>
      </c>
      <c r="K132" s="10" t="s">
        <v>361</v>
      </c>
      <c r="L132" s="10" t="s">
        <v>359</v>
      </c>
      <c r="M132" s="10" t="s">
        <v>360</v>
      </c>
    </row>
    <row r="133" customFormat="false" ht="23.85" hidden="false" customHeight="false" outlineLevel="0" collapsed="false">
      <c r="A133" s="10" t="s">
        <v>190</v>
      </c>
      <c r="B133" s="10" t="s">
        <v>191</v>
      </c>
      <c r="C133" s="10" t="s">
        <v>192</v>
      </c>
      <c r="D133" s="10" t="s">
        <v>193</v>
      </c>
      <c r="E133" s="10" t="s">
        <v>194</v>
      </c>
      <c r="F133" s="10" t="s">
        <v>68</v>
      </c>
      <c r="G133" s="10" t="s">
        <v>62</v>
      </c>
      <c r="H133" s="10" t="s">
        <v>69</v>
      </c>
      <c r="I133" s="28" t="s">
        <v>167</v>
      </c>
      <c r="J133" s="10" t="s">
        <v>12</v>
      </c>
      <c r="K133" s="10" t="s">
        <v>362</v>
      </c>
      <c r="L133" s="10" t="s">
        <v>363</v>
      </c>
      <c r="M133" s="10" t="s">
        <v>364</v>
      </c>
    </row>
    <row r="134" customFormat="false" ht="23.85" hidden="false" customHeight="false" outlineLevel="0" collapsed="false">
      <c r="A134" s="10" t="s">
        <v>190</v>
      </c>
      <c r="B134" s="10" t="s">
        <v>191</v>
      </c>
      <c r="C134" s="10" t="s">
        <v>192</v>
      </c>
      <c r="D134" s="10" t="s">
        <v>193</v>
      </c>
      <c r="E134" s="10" t="s">
        <v>194</v>
      </c>
      <c r="F134" s="10" t="s">
        <v>71</v>
      </c>
      <c r="G134" s="10" t="s">
        <v>62</v>
      </c>
      <c r="H134" s="10" t="s">
        <v>72</v>
      </c>
      <c r="I134" s="29" t="s">
        <v>168</v>
      </c>
      <c r="J134" s="10" t="s">
        <v>16</v>
      </c>
      <c r="K134" s="10" t="s">
        <v>365</v>
      </c>
      <c r="L134" s="10" t="s">
        <v>363</v>
      </c>
      <c r="M134" s="10" t="s">
        <v>364</v>
      </c>
    </row>
    <row r="135" customFormat="false" ht="35.05" hidden="false" customHeight="false" outlineLevel="0" collapsed="false">
      <c r="A135" s="10" t="s">
        <v>190</v>
      </c>
      <c r="B135" s="10" t="s">
        <v>191</v>
      </c>
      <c r="C135" s="10" t="s">
        <v>192</v>
      </c>
      <c r="D135" s="10" t="s">
        <v>193</v>
      </c>
      <c r="E135" s="10" t="s">
        <v>194</v>
      </c>
      <c r="F135" s="10" t="s">
        <v>74</v>
      </c>
      <c r="G135" s="10" t="s">
        <v>62</v>
      </c>
      <c r="H135" s="10" t="s">
        <v>75</v>
      </c>
      <c r="I135" s="29" t="s">
        <v>168</v>
      </c>
      <c r="J135" s="10" t="s">
        <v>16</v>
      </c>
      <c r="K135" s="10" t="s">
        <v>366</v>
      </c>
      <c r="L135" s="10" t="s">
        <v>367</v>
      </c>
      <c r="M135" s="10" t="s">
        <v>368</v>
      </c>
    </row>
    <row r="136" customFormat="false" ht="23.85" hidden="false" customHeight="false" outlineLevel="0" collapsed="false">
      <c r="A136" s="10" t="s">
        <v>190</v>
      </c>
      <c r="B136" s="10" t="s">
        <v>191</v>
      </c>
      <c r="C136" s="10" t="s">
        <v>192</v>
      </c>
      <c r="D136" s="10" t="s">
        <v>193</v>
      </c>
      <c r="E136" s="10" t="s">
        <v>194</v>
      </c>
      <c r="F136" s="10" t="s">
        <v>77</v>
      </c>
      <c r="G136" s="10" t="s">
        <v>62</v>
      </c>
      <c r="H136" s="10" t="s">
        <v>78</v>
      </c>
      <c r="I136" s="29" t="s">
        <v>168</v>
      </c>
      <c r="J136" s="10" t="s">
        <v>16</v>
      </c>
      <c r="K136" s="10" t="s">
        <v>369</v>
      </c>
      <c r="L136" s="10" t="s">
        <v>370</v>
      </c>
      <c r="M136" s="10" t="s">
        <v>371</v>
      </c>
    </row>
    <row r="137" customFormat="false" ht="23.85" hidden="false" customHeight="false" outlineLevel="0" collapsed="false">
      <c r="A137" s="10" t="s">
        <v>190</v>
      </c>
      <c r="B137" s="10" t="s">
        <v>191</v>
      </c>
      <c r="C137" s="10" t="s">
        <v>192</v>
      </c>
      <c r="D137" s="10" t="s">
        <v>193</v>
      </c>
      <c r="E137" s="10" t="s">
        <v>194</v>
      </c>
      <c r="F137" s="10" t="s">
        <v>80</v>
      </c>
      <c r="G137" s="10" t="s">
        <v>62</v>
      </c>
      <c r="H137" s="10" t="s">
        <v>81</v>
      </c>
      <c r="I137" s="29" t="s">
        <v>168</v>
      </c>
      <c r="J137" s="10" t="s">
        <v>16</v>
      </c>
      <c r="K137" s="10" t="s">
        <v>372</v>
      </c>
      <c r="L137" s="10" t="s">
        <v>363</v>
      </c>
      <c r="M137" s="10" t="s">
        <v>364</v>
      </c>
    </row>
    <row r="138" customFormat="false" ht="23.85" hidden="false" customHeight="false" outlineLevel="0" collapsed="false">
      <c r="A138" s="10" t="s">
        <v>190</v>
      </c>
      <c r="B138" s="10" t="s">
        <v>191</v>
      </c>
      <c r="C138" s="10" t="s">
        <v>192</v>
      </c>
      <c r="D138" s="10" t="s">
        <v>193</v>
      </c>
      <c r="E138" s="10" t="s">
        <v>194</v>
      </c>
      <c r="F138" s="10" t="s">
        <v>83</v>
      </c>
      <c r="G138" s="10" t="s">
        <v>84</v>
      </c>
      <c r="H138" s="10" t="s">
        <v>85</v>
      </c>
      <c r="I138" s="29" t="s">
        <v>168</v>
      </c>
      <c r="J138" s="10" t="s">
        <v>16</v>
      </c>
      <c r="K138" s="10" t="s">
        <v>373</v>
      </c>
      <c r="L138" s="10" t="s">
        <v>370</v>
      </c>
      <c r="M138" s="10" t="s">
        <v>371</v>
      </c>
    </row>
    <row r="139" customFormat="false" ht="23.85" hidden="false" customHeight="false" outlineLevel="0" collapsed="false">
      <c r="A139" s="10" t="s">
        <v>190</v>
      </c>
      <c r="B139" s="10" t="s">
        <v>191</v>
      </c>
      <c r="C139" s="10" t="s">
        <v>192</v>
      </c>
      <c r="D139" s="10" t="s">
        <v>193</v>
      </c>
      <c r="E139" s="10" t="s">
        <v>194</v>
      </c>
      <c r="F139" s="10" t="s">
        <v>87</v>
      </c>
      <c r="G139" s="10" t="s">
        <v>84</v>
      </c>
      <c r="H139" s="10" t="s">
        <v>88</v>
      </c>
      <c r="I139" s="29" t="s">
        <v>168</v>
      </c>
      <c r="J139" s="10" t="s">
        <v>16</v>
      </c>
      <c r="K139" s="10" t="s">
        <v>374</v>
      </c>
      <c r="L139" s="10" t="s">
        <v>375</v>
      </c>
      <c r="M139" s="10" t="s">
        <v>376</v>
      </c>
    </row>
    <row r="140" customFormat="false" ht="23.85" hidden="false" customHeight="false" outlineLevel="0" collapsed="false">
      <c r="A140" s="10" t="s">
        <v>190</v>
      </c>
      <c r="B140" s="10" t="s">
        <v>191</v>
      </c>
      <c r="C140" s="10" t="s">
        <v>192</v>
      </c>
      <c r="D140" s="10" t="s">
        <v>193</v>
      </c>
      <c r="E140" s="10" t="s">
        <v>194</v>
      </c>
      <c r="F140" s="10" t="s">
        <v>90</v>
      </c>
      <c r="G140" s="10" t="s">
        <v>84</v>
      </c>
      <c r="H140" s="10" t="s">
        <v>91</v>
      </c>
      <c r="I140" s="27" t="s">
        <v>166</v>
      </c>
      <c r="J140" s="10" t="s">
        <v>20</v>
      </c>
      <c r="K140" s="10" t="s">
        <v>267</v>
      </c>
      <c r="L140" s="10"/>
      <c r="M140" s="10"/>
    </row>
    <row r="141" customFormat="false" ht="23.85" hidden="false" customHeight="false" outlineLevel="0" collapsed="false">
      <c r="A141" s="10" t="s">
        <v>190</v>
      </c>
      <c r="B141" s="10" t="s">
        <v>191</v>
      </c>
      <c r="C141" s="10" t="s">
        <v>192</v>
      </c>
      <c r="D141" s="10" t="s">
        <v>193</v>
      </c>
      <c r="E141" s="10" t="s">
        <v>194</v>
      </c>
      <c r="F141" s="10" t="s">
        <v>93</v>
      </c>
      <c r="G141" s="10" t="s">
        <v>84</v>
      </c>
      <c r="H141" s="10" t="s">
        <v>94</v>
      </c>
      <c r="I141" s="27" t="s">
        <v>166</v>
      </c>
      <c r="J141" s="10" t="s">
        <v>20</v>
      </c>
      <c r="K141" s="10" t="s">
        <v>267</v>
      </c>
      <c r="L141" s="10"/>
      <c r="M141" s="10"/>
    </row>
    <row r="142" customFormat="false" ht="23.85" hidden="false" customHeight="false" outlineLevel="0" collapsed="false">
      <c r="A142" s="10" t="s">
        <v>190</v>
      </c>
      <c r="B142" s="10" t="s">
        <v>191</v>
      </c>
      <c r="C142" s="10" t="s">
        <v>192</v>
      </c>
      <c r="D142" s="10" t="s">
        <v>193</v>
      </c>
      <c r="E142" s="10" t="s">
        <v>194</v>
      </c>
      <c r="F142" s="10" t="s">
        <v>96</v>
      </c>
      <c r="G142" s="10" t="s">
        <v>97</v>
      </c>
      <c r="H142" s="10" t="s">
        <v>98</v>
      </c>
      <c r="I142" s="27" t="s">
        <v>166</v>
      </c>
      <c r="J142" s="10" t="s">
        <v>20</v>
      </c>
      <c r="K142" s="10" t="s">
        <v>377</v>
      </c>
      <c r="L142" s="10"/>
      <c r="M142" s="10"/>
    </row>
    <row r="143" customFormat="false" ht="23.85" hidden="false" customHeight="false" outlineLevel="0" collapsed="false">
      <c r="A143" s="10" t="s">
        <v>190</v>
      </c>
      <c r="B143" s="10" t="s">
        <v>191</v>
      </c>
      <c r="C143" s="10" t="s">
        <v>192</v>
      </c>
      <c r="D143" s="10" t="s">
        <v>193</v>
      </c>
      <c r="E143" s="10" t="s">
        <v>194</v>
      </c>
      <c r="F143" s="10" t="s">
        <v>100</v>
      </c>
      <c r="G143" s="10" t="s">
        <v>97</v>
      </c>
      <c r="H143" s="10" t="s">
        <v>101</v>
      </c>
      <c r="I143" s="27" t="s">
        <v>166</v>
      </c>
      <c r="J143" s="10" t="s">
        <v>20</v>
      </c>
      <c r="K143" s="10" t="s">
        <v>267</v>
      </c>
      <c r="L143" s="10"/>
      <c r="M143" s="10"/>
    </row>
    <row r="144" customFormat="false" ht="23.85" hidden="false" customHeight="false" outlineLevel="0" collapsed="false">
      <c r="A144" s="10" t="s">
        <v>190</v>
      </c>
      <c r="B144" s="10" t="s">
        <v>191</v>
      </c>
      <c r="C144" s="10" t="s">
        <v>192</v>
      </c>
      <c r="D144" s="10" t="s">
        <v>193</v>
      </c>
      <c r="E144" s="10" t="s">
        <v>194</v>
      </c>
      <c r="F144" s="10" t="s">
        <v>103</v>
      </c>
      <c r="G144" s="10" t="s">
        <v>97</v>
      </c>
      <c r="H144" s="10" t="s">
        <v>104</v>
      </c>
      <c r="I144" s="27" t="s">
        <v>166</v>
      </c>
      <c r="J144" s="10" t="s">
        <v>20</v>
      </c>
      <c r="K144" s="10" t="s">
        <v>267</v>
      </c>
      <c r="L144" s="10"/>
      <c r="M144" s="10"/>
    </row>
    <row r="145" customFormat="false" ht="23.85" hidden="false" customHeight="false" outlineLevel="0" collapsed="false">
      <c r="A145" s="10" t="s">
        <v>190</v>
      </c>
      <c r="B145" s="10" t="s">
        <v>191</v>
      </c>
      <c r="C145" s="10" t="s">
        <v>192</v>
      </c>
      <c r="D145" s="10" t="s">
        <v>193</v>
      </c>
      <c r="E145" s="10" t="s">
        <v>194</v>
      </c>
      <c r="F145" s="10" t="s">
        <v>106</v>
      </c>
      <c r="G145" s="10" t="s">
        <v>97</v>
      </c>
      <c r="H145" s="10" t="s">
        <v>107</v>
      </c>
      <c r="I145" s="27" t="s">
        <v>166</v>
      </c>
      <c r="J145" s="10" t="s">
        <v>20</v>
      </c>
      <c r="K145" s="10" t="s">
        <v>267</v>
      </c>
      <c r="L145" s="10"/>
      <c r="M145" s="10"/>
    </row>
    <row r="146" customFormat="false" ht="23.85" hidden="false" customHeight="false" outlineLevel="0" collapsed="false">
      <c r="A146" s="10" t="s">
        <v>197</v>
      </c>
      <c r="B146" s="10" t="s">
        <v>160</v>
      </c>
      <c r="C146" s="10" t="s">
        <v>198</v>
      </c>
      <c r="D146" s="10" t="s">
        <v>199</v>
      </c>
      <c r="E146" s="10" t="s">
        <v>200</v>
      </c>
      <c r="F146" s="10" t="s">
        <v>33</v>
      </c>
      <c r="G146" s="10" t="s">
        <v>34</v>
      </c>
      <c r="H146" s="10" t="s">
        <v>35</v>
      </c>
      <c r="I146" s="28" t="s">
        <v>167</v>
      </c>
      <c r="J146" s="10" t="s">
        <v>12</v>
      </c>
      <c r="K146" s="10" t="s">
        <v>378</v>
      </c>
      <c r="L146" s="10" t="s">
        <v>379</v>
      </c>
      <c r="M146" s="10" t="s">
        <v>380</v>
      </c>
    </row>
    <row r="147" customFormat="false" ht="15" hidden="false" customHeight="false" outlineLevel="0" collapsed="false">
      <c r="A147" s="10" t="s">
        <v>197</v>
      </c>
      <c r="B147" s="10" t="s">
        <v>160</v>
      </c>
      <c r="C147" s="10" t="s">
        <v>198</v>
      </c>
      <c r="D147" s="10" t="s">
        <v>199</v>
      </c>
      <c r="E147" s="10" t="s">
        <v>200</v>
      </c>
      <c r="F147" s="10" t="s">
        <v>37</v>
      </c>
      <c r="G147" s="10" t="s">
        <v>34</v>
      </c>
      <c r="H147" s="10" t="s">
        <v>38</v>
      </c>
      <c r="I147" s="27" t="s">
        <v>166</v>
      </c>
      <c r="J147" s="10" t="s">
        <v>20</v>
      </c>
      <c r="K147" s="10" t="s">
        <v>267</v>
      </c>
      <c r="L147" s="10"/>
      <c r="M147" s="10"/>
    </row>
    <row r="148" customFormat="false" ht="23.85" hidden="false" customHeight="false" outlineLevel="0" collapsed="false">
      <c r="A148" s="10" t="s">
        <v>197</v>
      </c>
      <c r="B148" s="10" t="s">
        <v>160</v>
      </c>
      <c r="C148" s="10" t="s">
        <v>198</v>
      </c>
      <c r="D148" s="10" t="s">
        <v>199</v>
      </c>
      <c r="E148" s="10" t="s">
        <v>200</v>
      </c>
      <c r="F148" s="10" t="s">
        <v>40</v>
      </c>
      <c r="G148" s="10" t="s">
        <v>34</v>
      </c>
      <c r="H148" s="10" t="s">
        <v>41</v>
      </c>
      <c r="I148" s="28" t="s">
        <v>167</v>
      </c>
      <c r="J148" s="10" t="s">
        <v>12</v>
      </c>
      <c r="K148" s="10" t="s">
        <v>381</v>
      </c>
      <c r="L148" s="10" t="s">
        <v>379</v>
      </c>
      <c r="M148" s="10" t="s">
        <v>380</v>
      </c>
    </row>
    <row r="149" customFormat="false" ht="35.05" hidden="false" customHeight="false" outlineLevel="0" collapsed="false">
      <c r="A149" s="10" t="s">
        <v>197</v>
      </c>
      <c r="B149" s="10" t="s">
        <v>160</v>
      </c>
      <c r="C149" s="10" t="s">
        <v>198</v>
      </c>
      <c r="D149" s="10" t="s">
        <v>199</v>
      </c>
      <c r="E149" s="10" t="s">
        <v>200</v>
      </c>
      <c r="F149" s="10" t="s">
        <v>43</v>
      </c>
      <c r="G149" s="10" t="s">
        <v>34</v>
      </c>
      <c r="H149" s="10" t="s">
        <v>44</v>
      </c>
      <c r="I149" s="28" t="s">
        <v>167</v>
      </c>
      <c r="J149" s="10" t="s">
        <v>12</v>
      </c>
      <c r="K149" s="10" t="s">
        <v>382</v>
      </c>
      <c r="L149" s="10" t="s">
        <v>383</v>
      </c>
      <c r="M149" s="10" t="s">
        <v>384</v>
      </c>
    </row>
    <row r="150" customFormat="false" ht="23.85" hidden="false" customHeight="false" outlineLevel="0" collapsed="false">
      <c r="A150" s="10" t="s">
        <v>197</v>
      </c>
      <c r="B150" s="10" t="s">
        <v>160</v>
      </c>
      <c r="C150" s="10" t="s">
        <v>198</v>
      </c>
      <c r="D150" s="10" t="s">
        <v>199</v>
      </c>
      <c r="E150" s="10" t="s">
        <v>200</v>
      </c>
      <c r="F150" s="10" t="s">
        <v>46</v>
      </c>
      <c r="G150" s="10" t="s">
        <v>34</v>
      </c>
      <c r="H150" s="10" t="s">
        <v>47</v>
      </c>
      <c r="I150" s="28" t="s">
        <v>167</v>
      </c>
      <c r="J150" s="10" t="s">
        <v>12</v>
      </c>
      <c r="K150" s="10" t="s">
        <v>385</v>
      </c>
      <c r="L150" s="10" t="s">
        <v>379</v>
      </c>
      <c r="M150" s="10" t="s">
        <v>380</v>
      </c>
    </row>
    <row r="151" customFormat="false" ht="35.05" hidden="false" customHeight="false" outlineLevel="0" collapsed="false">
      <c r="A151" s="10" t="s">
        <v>197</v>
      </c>
      <c r="B151" s="10" t="s">
        <v>160</v>
      </c>
      <c r="C151" s="10" t="s">
        <v>198</v>
      </c>
      <c r="D151" s="10" t="s">
        <v>199</v>
      </c>
      <c r="E151" s="10" t="s">
        <v>200</v>
      </c>
      <c r="F151" s="10" t="s">
        <v>49</v>
      </c>
      <c r="G151" s="10" t="s">
        <v>34</v>
      </c>
      <c r="H151" s="10" t="s">
        <v>50</v>
      </c>
      <c r="I151" s="28" t="s">
        <v>167</v>
      </c>
      <c r="J151" s="10" t="s">
        <v>12</v>
      </c>
      <c r="K151" s="10" t="s">
        <v>386</v>
      </c>
      <c r="L151" s="10" t="s">
        <v>387</v>
      </c>
      <c r="M151" s="10" t="s">
        <v>388</v>
      </c>
    </row>
    <row r="152" customFormat="false" ht="23.85" hidden="false" customHeight="false" outlineLevel="0" collapsed="false">
      <c r="A152" s="10" t="s">
        <v>197</v>
      </c>
      <c r="B152" s="10" t="s">
        <v>160</v>
      </c>
      <c r="C152" s="10" t="s">
        <v>198</v>
      </c>
      <c r="D152" s="10" t="s">
        <v>199</v>
      </c>
      <c r="E152" s="10" t="s">
        <v>200</v>
      </c>
      <c r="F152" s="10" t="s">
        <v>52</v>
      </c>
      <c r="G152" s="10" t="s">
        <v>34</v>
      </c>
      <c r="H152" s="10" t="s">
        <v>53</v>
      </c>
      <c r="I152" s="28" t="s">
        <v>167</v>
      </c>
      <c r="J152" s="10" t="s">
        <v>12</v>
      </c>
      <c r="K152" s="10" t="s">
        <v>389</v>
      </c>
      <c r="L152" s="10" t="s">
        <v>379</v>
      </c>
      <c r="M152" s="10" t="s">
        <v>380</v>
      </c>
    </row>
    <row r="153" customFormat="false" ht="15" hidden="false" customHeight="false" outlineLevel="0" collapsed="false">
      <c r="A153" s="10" t="s">
        <v>197</v>
      </c>
      <c r="B153" s="10" t="s">
        <v>160</v>
      </c>
      <c r="C153" s="10" t="s">
        <v>198</v>
      </c>
      <c r="D153" s="10" t="s">
        <v>199</v>
      </c>
      <c r="E153" s="10" t="s">
        <v>200</v>
      </c>
      <c r="F153" s="10" t="s">
        <v>55</v>
      </c>
      <c r="G153" s="10" t="s">
        <v>34</v>
      </c>
      <c r="H153" s="10" t="s">
        <v>56</v>
      </c>
      <c r="I153" s="27" t="s">
        <v>166</v>
      </c>
      <c r="J153" s="10" t="s">
        <v>20</v>
      </c>
      <c r="K153" s="10" t="s">
        <v>267</v>
      </c>
      <c r="L153" s="10"/>
      <c r="M153" s="10"/>
    </row>
    <row r="154" customFormat="false" ht="23.85" hidden="false" customHeight="false" outlineLevel="0" collapsed="false">
      <c r="A154" s="10" t="s">
        <v>197</v>
      </c>
      <c r="B154" s="10" t="s">
        <v>160</v>
      </c>
      <c r="C154" s="10" t="s">
        <v>198</v>
      </c>
      <c r="D154" s="10" t="s">
        <v>199</v>
      </c>
      <c r="E154" s="10" t="s">
        <v>200</v>
      </c>
      <c r="F154" s="10" t="s">
        <v>58</v>
      </c>
      <c r="G154" s="10" t="s">
        <v>34</v>
      </c>
      <c r="H154" s="10" t="s">
        <v>59</v>
      </c>
      <c r="I154" s="28" t="s">
        <v>167</v>
      </c>
      <c r="J154" s="10" t="s">
        <v>12</v>
      </c>
      <c r="K154" s="10" t="s">
        <v>390</v>
      </c>
      <c r="L154" s="10" t="s">
        <v>379</v>
      </c>
      <c r="M154" s="10" t="s">
        <v>380</v>
      </c>
    </row>
    <row r="155" customFormat="false" ht="15" hidden="false" customHeight="false" outlineLevel="0" collapsed="false">
      <c r="A155" s="10" t="s">
        <v>197</v>
      </c>
      <c r="B155" s="10" t="s">
        <v>160</v>
      </c>
      <c r="C155" s="10" t="s">
        <v>198</v>
      </c>
      <c r="D155" s="10" t="s">
        <v>199</v>
      </c>
      <c r="E155" s="10" t="s">
        <v>200</v>
      </c>
      <c r="F155" s="10" t="s">
        <v>61</v>
      </c>
      <c r="G155" s="10" t="s">
        <v>62</v>
      </c>
      <c r="H155" s="10" t="s">
        <v>63</v>
      </c>
      <c r="I155" s="27" t="s">
        <v>166</v>
      </c>
      <c r="J155" s="10" t="s">
        <v>20</v>
      </c>
      <c r="K155" s="10" t="s">
        <v>391</v>
      </c>
      <c r="L155" s="10"/>
      <c r="M155" s="10"/>
    </row>
    <row r="156" customFormat="false" ht="15" hidden="false" customHeight="false" outlineLevel="0" collapsed="false">
      <c r="A156" s="10" t="s">
        <v>197</v>
      </c>
      <c r="B156" s="10" t="s">
        <v>160</v>
      </c>
      <c r="C156" s="10" t="s">
        <v>198</v>
      </c>
      <c r="D156" s="10" t="s">
        <v>199</v>
      </c>
      <c r="E156" s="10" t="s">
        <v>200</v>
      </c>
      <c r="F156" s="10" t="s">
        <v>65</v>
      </c>
      <c r="G156" s="10" t="s">
        <v>62</v>
      </c>
      <c r="H156" s="10" t="s">
        <v>66</v>
      </c>
      <c r="I156" s="27" t="s">
        <v>166</v>
      </c>
      <c r="J156" s="10" t="s">
        <v>20</v>
      </c>
      <c r="K156" s="10" t="s">
        <v>392</v>
      </c>
      <c r="L156" s="10"/>
      <c r="M156" s="10"/>
    </row>
    <row r="157" customFormat="false" ht="23.85" hidden="false" customHeight="false" outlineLevel="0" collapsed="false">
      <c r="A157" s="10" t="s">
        <v>197</v>
      </c>
      <c r="B157" s="10" t="s">
        <v>160</v>
      </c>
      <c r="C157" s="10" t="s">
        <v>198</v>
      </c>
      <c r="D157" s="10" t="s">
        <v>199</v>
      </c>
      <c r="E157" s="10" t="s">
        <v>200</v>
      </c>
      <c r="F157" s="10" t="s">
        <v>68</v>
      </c>
      <c r="G157" s="10" t="s">
        <v>62</v>
      </c>
      <c r="H157" s="10" t="s">
        <v>69</v>
      </c>
      <c r="I157" s="28" t="s">
        <v>167</v>
      </c>
      <c r="J157" s="10" t="s">
        <v>12</v>
      </c>
      <c r="K157" s="10" t="s">
        <v>393</v>
      </c>
      <c r="L157" s="10" t="s">
        <v>379</v>
      </c>
      <c r="M157" s="10" t="s">
        <v>380</v>
      </c>
    </row>
    <row r="158" customFormat="false" ht="15" hidden="false" customHeight="false" outlineLevel="0" collapsed="false">
      <c r="A158" s="10" t="s">
        <v>197</v>
      </c>
      <c r="B158" s="10" t="s">
        <v>160</v>
      </c>
      <c r="C158" s="10" t="s">
        <v>198</v>
      </c>
      <c r="D158" s="10" t="s">
        <v>199</v>
      </c>
      <c r="E158" s="10" t="s">
        <v>200</v>
      </c>
      <c r="F158" s="10" t="s">
        <v>71</v>
      </c>
      <c r="G158" s="10" t="s">
        <v>62</v>
      </c>
      <c r="H158" s="10" t="s">
        <v>72</v>
      </c>
      <c r="I158" s="27" t="s">
        <v>166</v>
      </c>
      <c r="J158" s="10" t="s">
        <v>20</v>
      </c>
      <c r="K158" s="10" t="s">
        <v>394</v>
      </c>
      <c r="L158" s="10"/>
      <c r="M158" s="10"/>
    </row>
    <row r="159" customFormat="false" ht="23.85" hidden="false" customHeight="false" outlineLevel="0" collapsed="false">
      <c r="A159" s="10" t="s">
        <v>197</v>
      </c>
      <c r="B159" s="10" t="s">
        <v>160</v>
      </c>
      <c r="C159" s="10" t="s">
        <v>198</v>
      </c>
      <c r="D159" s="10" t="s">
        <v>199</v>
      </c>
      <c r="E159" s="10" t="s">
        <v>200</v>
      </c>
      <c r="F159" s="10" t="s">
        <v>74</v>
      </c>
      <c r="G159" s="10" t="s">
        <v>62</v>
      </c>
      <c r="H159" s="10" t="s">
        <v>75</v>
      </c>
      <c r="I159" s="28" t="s">
        <v>167</v>
      </c>
      <c r="J159" s="10" t="s">
        <v>12</v>
      </c>
      <c r="K159" s="10" t="s">
        <v>395</v>
      </c>
      <c r="L159" s="10" t="s">
        <v>379</v>
      </c>
      <c r="M159" s="10" t="s">
        <v>380</v>
      </c>
    </row>
    <row r="160" customFormat="false" ht="23.85" hidden="false" customHeight="false" outlineLevel="0" collapsed="false">
      <c r="A160" s="10" t="s">
        <v>197</v>
      </c>
      <c r="B160" s="10" t="s">
        <v>160</v>
      </c>
      <c r="C160" s="10" t="s">
        <v>198</v>
      </c>
      <c r="D160" s="10" t="s">
        <v>199</v>
      </c>
      <c r="E160" s="10" t="s">
        <v>200</v>
      </c>
      <c r="F160" s="10" t="s">
        <v>77</v>
      </c>
      <c r="G160" s="10" t="s">
        <v>62</v>
      </c>
      <c r="H160" s="10" t="s">
        <v>78</v>
      </c>
      <c r="I160" s="28" t="s">
        <v>167</v>
      </c>
      <c r="J160" s="10" t="s">
        <v>12</v>
      </c>
      <c r="K160" s="10" t="s">
        <v>396</v>
      </c>
      <c r="L160" s="10" t="s">
        <v>379</v>
      </c>
      <c r="M160" s="10" t="s">
        <v>380</v>
      </c>
    </row>
    <row r="161" customFormat="false" ht="23.85" hidden="false" customHeight="false" outlineLevel="0" collapsed="false">
      <c r="A161" s="10" t="s">
        <v>197</v>
      </c>
      <c r="B161" s="10" t="s">
        <v>160</v>
      </c>
      <c r="C161" s="10" t="s">
        <v>198</v>
      </c>
      <c r="D161" s="10" t="s">
        <v>199</v>
      </c>
      <c r="E161" s="10" t="s">
        <v>200</v>
      </c>
      <c r="F161" s="10" t="s">
        <v>80</v>
      </c>
      <c r="G161" s="10" t="s">
        <v>62</v>
      </c>
      <c r="H161" s="10" t="s">
        <v>81</v>
      </c>
      <c r="I161" s="28" t="s">
        <v>167</v>
      </c>
      <c r="J161" s="10" t="s">
        <v>12</v>
      </c>
      <c r="K161" s="10" t="s">
        <v>397</v>
      </c>
      <c r="L161" s="10" t="s">
        <v>379</v>
      </c>
      <c r="M161" s="10" t="s">
        <v>380</v>
      </c>
    </row>
    <row r="162" customFormat="false" ht="23.85" hidden="false" customHeight="false" outlineLevel="0" collapsed="false">
      <c r="A162" s="10" t="s">
        <v>197</v>
      </c>
      <c r="B162" s="10" t="s">
        <v>160</v>
      </c>
      <c r="C162" s="10" t="s">
        <v>198</v>
      </c>
      <c r="D162" s="10" t="s">
        <v>199</v>
      </c>
      <c r="E162" s="10" t="s">
        <v>200</v>
      </c>
      <c r="F162" s="10" t="s">
        <v>83</v>
      </c>
      <c r="G162" s="10" t="s">
        <v>84</v>
      </c>
      <c r="H162" s="10" t="s">
        <v>85</v>
      </c>
      <c r="I162" s="28" t="s">
        <v>167</v>
      </c>
      <c r="J162" s="10" t="s">
        <v>12</v>
      </c>
      <c r="K162" s="10" t="s">
        <v>398</v>
      </c>
      <c r="L162" s="10" t="s">
        <v>379</v>
      </c>
      <c r="M162" s="10" t="s">
        <v>380</v>
      </c>
    </row>
    <row r="163" customFormat="false" ht="23.85" hidden="false" customHeight="false" outlineLevel="0" collapsed="false">
      <c r="A163" s="10" t="s">
        <v>197</v>
      </c>
      <c r="B163" s="10" t="s">
        <v>160</v>
      </c>
      <c r="C163" s="10" t="s">
        <v>198</v>
      </c>
      <c r="D163" s="10" t="s">
        <v>199</v>
      </c>
      <c r="E163" s="10" t="s">
        <v>200</v>
      </c>
      <c r="F163" s="10" t="s">
        <v>87</v>
      </c>
      <c r="G163" s="10" t="s">
        <v>84</v>
      </c>
      <c r="H163" s="10" t="s">
        <v>88</v>
      </c>
      <c r="I163" s="29" t="s">
        <v>168</v>
      </c>
      <c r="J163" s="10" t="s">
        <v>16</v>
      </c>
      <c r="K163" s="10" t="s">
        <v>399</v>
      </c>
      <c r="L163" s="10" t="s">
        <v>400</v>
      </c>
      <c r="M163" s="10" t="s">
        <v>401</v>
      </c>
    </row>
    <row r="164" customFormat="false" ht="23.85" hidden="false" customHeight="false" outlineLevel="0" collapsed="false">
      <c r="A164" s="10" t="s">
        <v>197</v>
      </c>
      <c r="B164" s="10" t="s">
        <v>160</v>
      </c>
      <c r="C164" s="10" t="s">
        <v>198</v>
      </c>
      <c r="D164" s="10" t="s">
        <v>199</v>
      </c>
      <c r="E164" s="10" t="s">
        <v>200</v>
      </c>
      <c r="F164" s="10" t="s">
        <v>90</v>
      </c>
      <c r="G164" s="10" t="s">
        <v>84</v>
      </c>
      <c r="H164" s="10" t="s">
        <v>91</v>
      </c>
      <c r="I164" s="29" t="s">
        <v>168</v>
      </c>
      <c r="J164" s="10" t="s">
        <v>16</v>
      </c>
      <c r="K164" s="10" t="s">
        <v>402</v>
      </c>
      <c r="L164" s="10" t="s">
        <v>400</v>
      </c>
      <c r="M164" s="10" t="s">
        <v>401</v>
      </c>
    </row>
    <row r="165" customFormat="false" ht="23.85" hidden="false" customHeight="false" outlineLevel="0" collapsed="false">
      <c r="A165" s="10" t="s">
        <v>197</v>
      </c>
      <c r="B165" s="10" t="s">
        <v>160</v>
      </c>
      <c r="C165" s="10" t="s">
        <v>198</v>
      </c>
      <c r="D165" s="10" t="s">
        <v>199</v>
      </c>
      <c r="E165" s="10" t="s">
        <v>200</v>
      </c>
      <c r="F165" s="10" t="s">
        <v>93</v>
      </c>
      <c r="G165" s="10" t="s">
        <v>84</v>
      </c>
      <c r="H165" s="10" t="s">
        <v>94</v>
      </c>
      <c r="I165" s="29" t="s">
        <v>168</v>
      </c>
      <c r="J165" s="10" t="s">
        <v>16</v>
      </c>
      <c r="K165" s="10" t="s">
        <v>403</v>
      </c>
      <c r="L165" s="10" t="s">
        <v>400</v>
      </c>
      <c r="M165" s="10" t="s">
        <v>401</v>
      </c>
    </row>
    <row r="166" customFormat="false" ht="35.05" hidden="false" customHeight="false" outlineLevel="0" collapsed="false">
      <c r="A166" s="10" t="s">
        <v>197</v>
      </c>
      <c r="B166" s="10" t="s">
        <v>160</v>
      </c>
      <c r="C166" s="10" t="s">
        <v>198</v>
      </c>
      <c r="D166" s="10" t="s">
        <v>199</v>
      </c>
      <c r="E166" s="10" t="s">
        <v>200</v>
      </c>
      <c r="F166" s="10" t="s">
        <v>96</v>
      </c>
      <c r="G166" s="10" t="s">
        <v>97</v>
      </c>
      <c r="H166" s="10" t="s">
        <v>98</v>
      </c>
      <c r="I166" s="28" t="s">
        <v>167</v>
      </c>
      <c r="J166" s="10" t="s">
        <v>12</v>
      </c>
      <c r="K166" s="10" t="s">
        <v>404</v>
      </c>
      <c r="L166" s="10" t="s">
        <v>405</v>
      </c>
      <c r="M166" s="10" t="s">
        <v>406</v>
      </c>
    </row>
    <row r="167" customFormat="false" ht="23.85" hidden="false" customHeight="false" outlineLevel="0" collapsed="false">
      <c r="A167" s="10" t="s">
        <v>197</v>
      </c>
      <c r="B167" s="10" t="s">
        <v>160</v>
      </c>
      <c r="C167" s="10" t="s">
        <v>198</v>
      </c>
      <c r="D167" s="10" t="s">
        <v>199</v>
      </c>
      <c r="E167" s="10" t="s">
        <v>200</v>
      </c>
      <c r="F167" s="10" t="s">
        <v>100</v>
      </c>
      <c r="G167" s="10" t="s">
        <v>97</v>
      </c>
      <c r="H167" s="10" t="s">
        <v>101</v>
      </c>
      <c r="I167" s="27" t="s">
        <v>166</v>
      </c>
      <c r="J167" s="10" t="s">
        <v>20</v>
      </c>
      <c r="K167" s="10" t="s">
        <v>267</v>
      </c>
      <c r="L167" s="10"/>
      <c r="M167" s="10"/>
    </row>
    <row r="168" customFormat="false" ht="23.85" hidden="false" customHeight="false" outlineLevel="0" collapsed="false">
      <c r="A168" s="10" t="s">
        <v>197</v>
      </c>
      <c r="B168" s="10" t="s">
        <v>160</v>
      </c>
      <c r="C168" s="10" t="s">
        <v>198</v>
      </c>
      <c r="D168" s="10" t="s">
        <v>199</v>
      </c>
      <c r="E168" s="10" t="s">
        <v>200</v>
      </c>
      <c r="F168" s="10" t="s">
        <v>103</v>
      </c>
      <c r="G168" s="10" t="s">
        <v>97</v>
      </c>
      <c r="H168" s="10" t="s">
        <v>104</v>
      </c>
      <c r="I168" s="27" t="s">
        <v>166</v>
      </c>
      <c r="J168" s="10" t="s">
        <v>20</v>
      </c>
      <c r="K168" s="10" t="s">
        <v>407</v>
      </c>
      <c r="L168" s="10" t="s">
        <v>408</v>
      </c>
      <c r="M168" s="10" t="s">
        <v>409</v>
      </c>
    </row>
    <row r="169" customFormat="false" ht="15" hidden="false" customHeight="false" outlineLevel="0" collapsed="false">
      <c r="A169" s="10" t="s">
        <v>197</v>
      </c>
      <c r="B169" s="10" t="s">
        <v>160</v>
      </c>
      <c r="C169" s="10" t="s">
        <v>198</v>
      </c>
      <c r="D169" s="10" t="s">
        <v>199</v>
      </c>
      <c r="E169" s="10" t="s">
        <v>200</v>
      </c>
      <c r="F169" s="10" t="s">
        <v>106</v>
      </c>
      <c r="G169" s="10" t="s">
        <v>97</v>
      </c>
      <c r="H169" s="10" t="s">
        <v>107</v>
      </c>
      <c r="I169" s="27" t="s">
        <v>166</v>
      </c>
      <c r="J169" s="10" t="s">
        <v>20</v>
      </c>
      <c r="K169" s="10" t="s">
        <v>267</v>
      </c>
      <c r="L169" s="10"/>
      <c r="M169" s="10"/>
    </row>
    <row r="170" customFormat="false" ht="23.85" hidden="false" customHeight="false" outlineLevel="0" collapsed="false">
      <c r="A170" s="10" t="s">
        <v>197</v>
      </c>
      <c r="B170" s="10" t="s">
        <v>202</v>
      </c>
      <c r="C170" s="10" t="s">
        <v>203</v>
      </c>
      <c r="D170" s="10" t="s">
        <v>204</v>
      </c>
      <c r="E170" s="10" t="s">
        <v>205</v>
      </c>
      <c r="F170" s="10" t="s">
        <v>33</v>
      </c>
      <c r="G170" s="10" t="s">
        <v>34</v>
      </c>
      <c r="H170" s="10" t="s">
        <v>35</v>
      </c>
      <c r="I170" s="29" t="s">
        <v>168</v>
      </c>
      <c r="J170" s="10" t="s">
        <v>16</v>
      </c>
      <c r="K170" s="10" t="s">
        <v>410</v>
      </c>
      <c r="L170" s="10" t="s">
        <v>411</v>
      </c>
      <c r="M170" s="10" t="s">
        <v>412</v>
      </c>
    </row>
    <row r="171" customFormat="false" ht="23.85" hidden="false" customHeight="false" outlineLevel="0" collapsed="false">
      <c r="A171" s="10" t="s">
        <v>197</v>
      </c>
      <c r="B171" s="10" t="s">
        <v>202</v>
      </c>
      <c r="C171" s="10" t="s">
        <v>203</v>
      </c>
      <c r="D171" s="10" t="s">
        <v>204</v>
      </c>
      <c r="E171" s="10" t="s">
        <v>205</v>
      </c>
      <c r="F171" s="10" t="s">
        <v>37</v>
      </c>
      <c r="G171" s="10" t="s">
        <v>34</v>
      </c>
      <c r="H171" s="10" t="s">
        <v>38</v>
      </c>
      <c r="I171" s="27" t="s">
        <v>166</v>
      </c>
      <c r="J171" s="10" t="s">
        <v>20</v>
      </c>
      <c r="K171" s="10" t="s">
        <v>267</v>
      </c>
      <c r="L171" s="10"/>
      <c r="M171" s="10"/>
    </row>
    <row r="172" customFormat="false" ht="23.85" hidden="false" customHeight="false" outlineLevel="0" collapsed="false">
      <c r="A172" s="10" t="s">
        <v>197</v>
      </c>
      <c r="B172" s="10" t="s">
        <v>202</v>
      </c>
      <c r="C172" s="10" t="s">
        <v>203</v>
      </c>
      <c r="D172" s="10" t="s">
        <v>204</v>
      </c>
      <c r="E172" s="10" t="s">
        <v>205</v>
      </c>
      <c r="F172" s="10" t="s">
        <v>40</v>
      </c>
      <c r="G172" s="10" t="s">
        <v>34</v>
      </c>
      <c r="H172" s="10" t="s">
        <v>41</v>
      </c>
      <c r="I172" s="27" t="s">
        <v>166</v>
      </c>
      <c r="J172" s="10" t="s">
        <v>20</v>
      </c>
      <c r="K172" s="10" t="s">
        <v>267</v>
      </c>
      <c r="L172" s="10"/>
      <c r="M172" s="10"/>
    </row>
    <row r="173" customFormat="false" ht="23.85" hidden="false" customHeight="false" outlineLevel="0" collapsed="false">
      <c r="A173" s="10" t="s">
        <v>197</v>
      </c>
      <c r="B173" s="10" t="s">
        <v>202</v>
      </c>
      <c r="C173" s="10" t="s">
        <v>203</v>
      </c>
      <c r="D173" s="10" t="s">
        <v>204</v>
      </c>
      <c r="E173" s="10" t="s">
        <v>205</v>
      </c>
      <c r="F173" s="10" t="s">
        <v>43</v>
      </c>
      <c r="G173" s="10" t="s">
        <v>34</v>
      </c>
      <c r="H173" s="10" t="s">
        <v>44</v>
      </c>
      <c r="I173" s="26" t="s">
        <v>165</v>
      </c>
      <c r="J173" s="10" t="s">
        <v>14</v>
      </c>
      <c r="K173" s="10" t="s">
        <v>413</v>
      </c>
      <c r="L173" s="10" t="s">
        <v>414</v>
      </c>
      <c r="M173" s="10" t="s">
        <v>415</v>
      </c>
    </row>
    <row r="174" customFormat="false" ht="23.85" hidden="false" customHeight="false" outlineLevel="0" collapsed="false">
      <c r="A174" s="10" t="s">
        <v>197</v>
      </c>
      <c r="B174" s="10" t="s">
        <v>202</v>
      </c>
      <c r="C174" s="10" t="s">
        <v>203</v>
      </c>
      <c r="D174" s="10" t="s">
        <v>204</v>
      </c>
      <c r="E174" s="10" t="s">
        <v>205</v>
      </c>
      <c r="F174" s="10" t="s">
        <v>46</v>
      </c>
      <c r="G174" s="10" t="s">
        <v>34</v>
      </c>
      <c r="H174" s="10" t="s">
        <v>47</v>
      </c>
      <c r="I174" s="27" t="s">
        <v>166</v>
      </c>
      <c r="J174" s="10" t="s">
        <v>20</v>
      </c>
      <c r="K174" s="10" t="s">
        <v>416</v>
      </c>
      <c r="L174" s="10"/>
      <c r="M174" s="10"/>
    </row>
    <row r="175" customFormat="false" ht="23.85" hidden="false" customHeight="false" outlineLevel="0" collapsed="false">
      <c r="A175" s="10" t="s">
        <v>197</v>
      </c>
      <c r="B175" s="10" t="s">
        <v>202</v>
      </c>
      <c r="C175" s="10" t="s">
        <v>203</v>
      </c>
      <c r="D175" s="10" t="s">
        <v>204</v>
      </c>
      <c r="E175" s="10" t="s">
        <v>205</v>
      </c>
      <c r="F175" s="10" t="s">
        <v>49</v>
      </c>
      <c r="G175" s="10" t="s">
        <v>34</v>
      </c>
      <c r="H175" s="10" t="s">
        <v>50</v>
      </c>
      <c r="I175" s="28" t="s">
        <v>167</v>
      </c>
      <c r="J175" s="10" t="s">
        <v>12</v>
      </c>
      <c r="K175" s="10" t="s">
        <v>417</v>
      </c>
      <c r="L175" s="10" t="s">
        <v>418</v>
      </c>
      <c r="M175" s="10" t="s">
        <v>419</v>
      </c>
    </row>
    <row r="176" customFormat="false" ht="23.85" hidden="false" customHeight="false" outlineLevel="0" collapsed="false">
      <c r="A176" s="10" t="s">
        <v>197</v>
      </c>
      <c r="B176" s="10" t="s">
        <v>202</v>
      </c>
      <c r="C176" s="10" t="s">
        <v>203</v>
      </c>
      <c r="D176" s="10" t="s">
        <v>204</v>
      </c>
      <c r="E176" s="10" t="s">
        <v>205</v>
      </c>
      <c r="F176" s="10" t="s">
        <v>52</v>
      </c>
      <c r="G176" s="10" t="s">
        <v>34</v>
      </c>
      <c r="H176" s="10" t="s">
        <v>53</v>
      </c>
      <c r="I176" s="27" t="s">
        <v>166</v>
      </c>
      <c r="J176" s="10" t="s">
        <v>20</v>
      </c>
      <c r="K176" s="10" t="s">
        <v>267</v>
      </c>
      <c r="L176" s="10"/>
      <c r="M176" s="10"/>
    </row>
    <row r="177" customFormat="false" ht="23.85" hidden="false" customHeight="false" outlineLevel="0" collapsed="false">
      <c r="A177" s="10" t="s">
        <v>197</v>
      </c>
      <c r="B177" s="10" t="s">
        <v>202</v>
      </c>
      <c r="C177" s="10" t="s">
        <v>203</v>
      </c>
      <c r="D177" s="10" t="s">
        <v>204</v>
      </c>
      <c r="E177" s="10" t="s">
        <v>205</v>
      </c>
      <c r="F177" s="10" t="s">
        <v>55</v>
      </c>
      <c r="G177" s="10" t="s">
        <v>34</v>
      </c>
      <c r="H177" s="10" t="s">
        <v>56</v>
      </c>
      <c r="I177" s="27" t="s">
        <v>166</v>
      </c>
      <c r="J177" s="10" t="s">
        <v>20</v>
      </c>
      <c r="K177" s="10" t="s">
        <v>267</v>
      </c>
      <c r="L177" s="10"/>
      <c r="M177" s="10"/>
    </row>
    <row r="178" customFormat="false" ht="23.85" hidden="false" customHeight="false" outlineLevel="0" collapsed="false">
      <c r="A178" s="10" t="s">
        <v>197</v>
      </c>
      <c r="B178" s="10" t="s">
        <v>202</v>
      </c>
      <c r="C178" s="10" t="s">
        <v>203</v>
      </c>
      <c r="D178" s="10" t="s">
        <v>204</v>
      </c>
      <c r="E178" s="10" t="s">
        <v>205</v>
      </c>
      <c r="F178" s="10" t="s">
        <v>58</v>
      </c>
      <c r="G178" s="10" t="s">
        <v>34</v>
      </c>
      <c r="H178" s="10" t="s">
        <v>59</v>
      </c>
      <c r="I178" s="27" t="s">
        <v>166</v>
      </c>
      <c r="J178" s="10" t="s">
        <v>20</v>
      </c>
      <c r="K178" s="10" t="s">
        <v>267</v>
      </c>
      <c r="L178" s="10"/>
      <c r="M178" s="10"/>
    </row>
    <row r="179" customFormat="false" ht="23.85" hidden="false" customHeight="false" outlineLevel="0" collapsed="false">
      <c r="A179" s="10" t="s">
        <v>197</v>
      </c>
      <c r="B179" s="10" t="s">
        <v>202</v>
      </c>
      <c r="C179" s="10" t="s">
        <v>203</v>
      </c>
      <c r="D179" s="10" t="s">
        <v>204</v>
      </c>
      <c r="E179" s="10" t="s">
        <v>205</v>
      </c>
      <c r="F179" s="10" t="s">
        <v>61</v>
      </c>
      <c r="G179" s="10" t="s">
        <v>62</v>
      </c>
      <c r="H179" s="10" t="s">
        <v>63</v>
      </c>
      <c r="I179" s="28" t="s">
        <v>167</v>
      </c>
      <c r="J179" s="10" t="s">
        <v>12</v>
      </c>
      <c r="K179" s="10" t="s">
        <v>420</v>
      </c>
      <c r="L179" s="10" t="s">
        <v>421</v>
      </c>
      <c r="M179" s="10" t="s">
        <v>422</v>
      </c>
    </row>
    <row r="180" customFormat="false" ht="23.85" hidden="false" customHeight="false" outlineLevel="0" collapsed="false">
      <c r="A180" s="10" t="s">
        <v>197</v>
      </c>
      <c r="B180" s="10" t="s">
        <v>202</v>
      </c>
      <c r="C180" s="10" t="s">
        <v>203</v>
      </c>
      <c r="D180" s="10" t="s">
        <v>204</v>
      </c>
      <c r="E180" s="10" t="s">
        <v>205</v>
      </c>
      <c r="F180" s="10" t="s">
        <v>65</v>
      </c>
      <c r="G180" s="10" t="s">
        <v>62</v>
      </c>
      <c r="H180" s="10" t="s">
        <v>66</v>
      </c>
      <c r="I180" s="28" t="s">
        <v>167</v>
      </c>
      <c r="J180" s="10" t="s">
        <v>12</v>
      </c>
      <c r="K180" s="10" t="s">
        <v>423</v>
      </c>
      <c r="L180" s="10" t="s">
        <v>421</v>
      </c>
      <c r="M180" s="10" t="s">
        <v>422</v>
      </c>
    </row>
    <row r="181" customFormat="false" ht="23.85" hidden="false" customHeight="false" outlineLevel="0" collapsed="false">
      <c r="A181" s="10" t="s">
        <v>197</v>
      </c>
      <c r="B181" s="10" t="s">
        <v>202</v>
      </c>
      <c r="C181" s="10" t="s">
        <v>203</v>
      </c>
      <c r="D181" s="10" t="s">
        <v>204</v>
      </c>
      <c r="E181" s="10" t="s">
        <v>205</v>
      </c>
      <c r="F181" s="10" t="s">
        <v>68</v>
      </c>
      <c r="G181" s="10" t="s">
        <v>62</v>
      </c>
      <c r="H181" s="10" t="s">
        <v>69</v>
      </c>
      <c r="I181" s="28" t="s">
        <v>167</v>
      </c>
      <c r="J181" s="10" t="s">
        <v>12</v>
      </c>
      <c r="K181" s="10" t="s">
        <v>424</v>
      </c>
      <c r="L181" s="10" t="s">
        <v>425</v>
      </c>
      <c r="M181" s="10" t="s">
        <v>426</v>
      </c>
    </row>
    <row r="182" customFormat="false" ht="23.85" hidden="false" customHeight="false" outlineLevel="0" collapsed="false">
      <c r="A182" s="10" t="s">
        <v>197</v>
      </c>
      <c r="B182" s="10" t="s">
        <v>202</v>
      </c>
      <c r="C182" s="10" t="s">
        <v>203</v>
      </c>
      <c r="D182" s="10" t="s">
        <v>204</v>
      </c>
      <c r="E182" s="10" t="s">
        <v>205</v>
      </c>
      <c r="F182" s="10" t="s">
        <v>71</v>
      </c>
      <c r="G182" s="10" t="s">
        <v>62</v>
      </c>
      <c r="H182" s="10" t="s">
        <v>72</v>
      </c>
      <c r="I182" s="29" t="s">
        <v>168</v>
      </c>
      <c r="J182" s="10" t="s">
        <v>16</v>
      </c>
      <c r="K182" s="10" t="s">
        <v>427</v>
      </c>
      <c r="L182" s="10" t="s">
        <v>411</v>
      </c>
      <c r="M182" s="10" t="s">
        <v>412</v>
      </c>
    </row>
    <row r="183" customFormat="false" ht="23.85" hidden="false" customHeight="false" outlineLevel="0" collapsed="false">
      <c r="A183" s="10" t="s">
        <v>197</v>
      </c>
      <c r="B183" s="10" t="s">
        <v>202</v>
      </c>
      <c r="C183" s="10" t="s">
        <v>203</v>
      </c>
      <c r="D183" s="10" t="s">
        <v>204</v>
      </c>
      <c r="E183" s="10" t="s">
        <v>205</v>
      </c>
      <c r="F183" s="10" t="s">
        <v>74</v>
      </c>
      <c r="G183" s="10" t="s">
        <v>62</v>
      </c>
      <c r="H183" s="10" t="s">
        <v>75</v>
      </c>
      <c r="I183" s="28" t="s">
        <v>167</v>
      </c>
      <c r="J183" s="10" t="s">
        <v>12</v>
      </c>
      <c r="K183" s="10" t="s">
        <v>428</v>
      </c>
      <c r="L183" s="10" t="s">
        <v>421</v>
      </c>
      <c r="M183" s="10" t="s">
        <v>422</v>
      </c>
    </row>
    <row r="184" customFormat="false" ht="23.85" hidden="false" customHeight="false" outlineLevel="0" collapsed="false">
      <c r="A184" s="10" t="s">
        <v>197</v>
      </c>
      <c r="B184" s="10" t="s">
        <v>202</v>
      </c>
      <c r="C184" s="10" t="s">
        <v>203</v>
      </c>
      <c r="D184" s="10" t="s">
        <v>204</v>
      </c>
      <c r="E184" s="10" t="s">
        <v>205</v>
      </c>
      <c r="F184" s="10" t="s">
        <v>77</v>
      </c>
      <c r="G184" s="10" t="s">
        <v>62</v>
      </c>
      <c r="H184" s="10" t="s">
        <v>78</v>
      </c>
      <c r="I184" s="29" t="s">
        <v>168</v>
      </c>
      <c r="J184" s="10" t="s">
        <v>16</v>
      </c>
      <c r="K184" s="10" t="s">
        <v>429</v>
      </c>
      <c r="L184" s="10" t="s">
        <v>411</v>
      </c>
      <c r="M184" s="10" t="s">
        <v>412</v>
      </c>
    </row>
    <row r="185" customFormat="false" ht="23.85" hidden="false" customHeight="false" outlineLevel="0" collapsed="false">
      <c r="A185" s="10" t="s">
        <v>197</v>
      </c>
      <c r="B185" s="10" t="s">
        <v>202</v>
      </c>
      <c r="C185" s="10" t="s">
        <v>203</v>
      </c>
      <c r="D185" s="10" t="s">
        <v>204</v>
      </c>
      <c r="E185" s="10" t="s">
        <v>205</v>
      </c>
      <c r="F185" s="10" t="s">
        <v>80</v>
      </c>
      <c r="G185" s="10" t="s">
        <v>62</v>
      </c>
      <c r="H185" s="10" t="s">
        <v>81</v>
      </c>
      <c r="I185" s="27" t="s">
        <v>166</v>
      </c>
      <c r="J185" s="10" t="s">
        <v>20</v>
      </c>
      <c r="K185" s="10" t="s">
        <v>267</v>
      </c>
      <c r="L185" s="10"/>
      <c r="M185" s="10"/>
    </row>
    <row r="186" customFormat="false" ht="23.85" hidden="false" customHeight="false" outlineLevel="0" collapsed="false">
      <c r="A186" s="10" t="s">
        <v>197</v>
      </c>
      <c r="B186" s="10" t="s">
        <v>202</v>
      </c>
      <c r="C186" s="10" t="s">
        <v>203</v>
      </c>
      <c r="D186" s="10" t="s">
        <v>204</v>
      </c>
      <c r="E186" s="10" t="s">
        <v>205</v>
      </c>
      <c r="F186" s="10" t="s">
        <v>83</v>
      </c>
      <c r="G186" s="10" t="s">
        <v>84</v>
      </c>
      <c r="H186" s="10" t="s">
        <v>85</v>
      </c>
      <c r="I186" s="29" t="s">
        <v>168</v>
      </c>
      <c r="J186" s="10" t="s">
        <v>16</v>
      </c>
      <c r="K186" s="10" t="s">
        <v>430</v>
      </c>
      <c r="L186" s="10" t="s">
        <v>431</v>
      </c>
      <c r="M186" s="10" t="s">
        <v>432</v>
      </c>
    </row>
    <row r="187" customFormat="false" ht="23.85" hidden="false" customHeight="false" outlineLevel="0" collapsed="false">
      <c r="A187" s="10" t="s">
        <v>197</v>
      </c>
      <c r="B187" s="10" t="s">
        <v>202</v>
      </c>
      <c r="C187" s="10" t="s">
        <v>203</v>
      </c>
      <c r="D187" s="10" t="s">
        <v>204</v>
      </c>
      <c r="E187" s="10" t="s">
        <v>205</v>
      </c>
      <c r="F187" s="10" t="s">
        <v>87</v>
      </c>
      <c r="G187" s="10" t="s">
        <v>84</v>
      </c>
      <c r="H187" s="10" t="s">
        <v>88</v>
      </c>
      <c r="I187" s="29" t="s">
        <v>168</v>
      </c>
      <c r="J187" s="10" t="s">
        <v>16</v>
      </c>
      <c r="K187" s="10" t="s">
        <v>433</v>
      </c>
      <c r="L187" s="10" t="s">
        <v>434</v>
      </c>
      <c r="M187" s="10" t="s">
        <v>435</v>
      </c>
    </row>
    <row r="188" customFormat="false" ht="23.85" hidden="false" customHeight="false" outlineLevel="0" collapsed="false">
      <c r="A188" s="10" t="s">
        <v>197</v>
      </c>
      <c r="B188" s="10" t="s">
        <v>202</v>
      </c>
      <c r="C188" s="10" t="s">
        <v>203</v>
      </c>
      <c r="D188" s="10" t="s">
        <v>204</v>
      </c>
      <c r="E188" s="10" t="s">
        <v>205</v>
      </c>
      <c r="F188" s="10" t="s">
        <v>90</v>
      </c>
      <c r="G188" s="10" t="s">
        <v>84</v>
      </c>
      <c r="H188" s="10" t="s">
        <v>91</v>
      </c>
      <c r="I188" s="27" t="s">
        <v>166</v>
      </c>
      <c r="J188" s="10" t="s">
        <v>20</v>
      </c>
      <c r="K188" s="10" t="s">
        <v>267</v>
      </c>
      <c r="L188" s="10"/>
      <c r="M188" s="10"/>
    </row>
    <row r="189" customFormat="false" ht="23.85" hidden="false" customHeight="false" outlineLevel="0" collapsed="false">
      <c r="A189" s="10" t="s">
        <v>197</v>
      </c>
      <c r="B189" s="10" t="s">
        <v>202</v>
      </c>
      <c r="C189" s="10" t="s">
        <v>203</v>
      </c>
      <c r="D189" s="10" t="s">
        <v>204</v>
      </c>
      <c r="E189" s="10" t="s">
        <v>205</v>
      </c>
      <c r="F189" s="10" t="s">
        <v>93</v>
      </c>
      <c r="G189" s="10" t="s">
        <v>84</v>
      </c>
      <c r="H189" s="10" t="s">
        <v>94</v>
      </c>
      <c r="I189" s="27" t="s">
        <v>166</v>
      </c>
      <c r="J189" s="10" t="s">
        <v>20</v>
      </c>
      <c r="K189" s="10" t="s">
        <v>267</v>
      </c>
      <c r="L189" s="10"/>
      <c r="M189" s="10"/>
    </row>
    <row r="190" customFormat="false" ht="23.85" hidden="false" customHeight="false" outlineLevel="0" collapsed="false">
      <c r="A190" s="10" t="s">
        <v>197</v>
      </c>
      <c r="B190" s="10" t="s">
        <v>202</v>
      </c>
      <c r="C190" s="10" t="s">
        <v>203</v>
      </c>
      <c r="D190" s="10" t="s">
        <v>204</v>
      </c>
      <c r="E190" s="10" t="s">
        <v>205</v>
      </c>
      <c r="F190" s="10" t="s">
        <v>96</v>
      </c>
      <c r="G190" s="10" t="s">
        <v>97</v>
      </c>
      <c r="H190" s="10" t="s">
        <v>98</v>
      </c>
      <c r="I190" s="29" t="s">
        <v>168</v>
      </c>
      <c r="J190" s="10" t="s">
        <v>16</v>
      </c>
      <c r="K190" s="10" t="s">
        <v>436</v>
      </c>
      <c r="L190" s="10" t="s">
        <v>411</v>
      </c>
      <c r="M190" s="10" t="s">
        <v>412</v>
      </c>
    </row>
    <row r="191" customFormat="false" ht="23.85" hidden="false" customHeight="false" outlineLevel="0" collapsed="false">
      <c r="A191" s="10" t="s">
        <v>197</v>
      </c>
      <c r="B191" s="10" t="s">
        <v>202</v>
      </c>
      <c r="C191" s="10" t="s">
        <v>203</v>
      </c>
      <c r="D191" s="10" t="s">
        <v>204</v>
      </c>
      <c r="E191" s="10" t="s">
        <v>205</v>
      </c>
      <c r="F191" s="10" t="s">
        <v>100</v>
      </c>
      <c r="G191" s="10" t="s">
        <v>97</v>
      </c>
      <c r="H191" s="10" t="s">
        <v>101</v>
      </c>
      <c r="I191" s="27" t="s">
        <v>166</v>
      </c>
      <c r="J191" s="10" t="s">
        <v>20</v>
      </c>
      <c r="K191" s="10" t="s">
        <v>267</v>
      </c>
      <c r="L191" s="10"/>
      <c r="M191" s="10"/>
    </row>
    <row r="192" customFormat="false" ht="23.85" hidden="false" customHeight="false" outlineLevel="0" collapsed="false">
      <c r="A192" s="10" t="s">
        <v>197</v>
      </c>
      <c r="B192" s="10" t="s">
        <v>202</v>
      </c>
      <c r="C192" s="10" t="s">
        <v>203</v>
      </c>
      <c r="D192" s="10" t="s">
        <v>204</v>
      </c>
      <c r="E192" s="10" t="s">
        <v>205</v>
      </c>
      <c r="F192" s="10" t="s">
        <v>103</v>
      </c>
      <c r="G192" s="10" t="s">
        <v>97</v>
      </c>
      <c r="H192" s="10" t="s">
        <v>104</v>
      </c>
      <c r="I192" s="29" t="s">
        <v>168</v>
      </c>
      <c r="J192" s="10" t="s">
        <v>16</v>
      </c>
      <c r="K192" s="10" t="s">
        <v>437</v>
      </c>
      <c r="L192" s="10" t="s">
        <v>438</v>
      </c>
      <c r="M192" s="10" t="s">
        <v>439</v>
      </c>
    </row>
    <row r="193" customFormat="false" ht="23.85" hidden="false" customHeight="false" outlineLevel="0" collapsed="false">
      <c r="A193" s="10" t="s">
        <v>197</v>
      </c>
      <c r="B193" s="10" t="s">
        <v>202</v>
      </c>
      <c r="C193" s="10" t="s">
        <v>203</v>
      </c>
      <c r="D193" s="10" t="s">
        <v>204</v>
      </c>
      <c r="E193" s="10" t="s">
        <v>205</v>
      </c>
      <c r="F193" s="10" t="s">
        <v>106</v>
      </c>
      <c r="G193" s="10" t="s">
        <v>97</v>
      </c>
      <c r="H193" s="10" t="s">
        <v>107</v>
      </c>
      <c r="I193" s="29" t="s">
        <v>168</v>
      </c>
      <c r="J193" s="10" t="s">
        <v>16</v>
      </c>
      <c r="K193" s="10" t="s">
        <v>440</v>
      </c>
      <c r="L193" s="10" t="s">
        <v>441</v>
      </c>
      <c r="M193" s="10" t="s">
        <v>442</v>
      </c>
    </row>
    <row r="194" customFormat="false" ht="23.85" hidden="false" customHeight="false" outlineLevel="0" collapsed="false">
      <c r="A194" s="10" t="s">
        <v>190</v>
      </c>
      <c r="B194" s="10" t="s">
        <v>207</v>
      </c>
      <c r="C194" s="10" t="s">
        <v>208</v>
      </c>
      <c r="D194" s="10" t="s">
        <v>209</v>
      </c>
      <c r="E194" s="10" t="s">
        <v>210</v>
      </c>
      <c r="F194" s="10" t="s">
        <v>33</v>
      </c>
      <c r="G194" s="10" t="s">
        <v>34</v>
      </c>
      <c r="H194" s="10" t="s">
        <v>35</v>
      </c>
      <c r="I194" s="28" t="s">
        <v>167</v>
      </c>
      <c r="J194" s="10" t="s">
        <v>12</v>
      </c>
      <c r="K194" s="10" t="s">
        <v>443</v>
      </c>
      <c r="L194" s="10" t="s">
        <v>444</v>
      </c>
      <c r="M194" s="10" t="s">
        <v>445</v>
      </c>
    </row>
    <row r="195" customFormat="false" ht="23.85" hidden="false" customHeight="false" outlineLevel="0" collapsed="false">
      <c r="A195" s="10" t="s">
        <v>190</v>
      </c>
      <c r="B195" s="10" t="s">
        <v>207</v>
      </c>
      <c r="C195" s="10" t="s">
        <v>208</v>
      </c>
      <c r="D195" s="10" t="s">
        <v>209</v>
      </c>
      <c r="E195" s="10" t="s">
        <v>210</v>
      </c>
      <c r="F195" s="10" t="s">
        <v>37</v>
      </c>
      <c r="G195" s="10" t="s">
        <v>34</v>
      </c>
      <c r="H195" s="10" t="s">
        <v>38</v>
      </c>
      <c r="I195" s="27" t="s">
        <v>166</v>
      </c>
      <c r="J195" s="10" t="s">
        <v>20</v>
      </c>
      <c r="K195" s="10" t="s">
        <v>267</v>
      </c>
      <c r="L195" s="10"/>
      <c r="M195" s="10"/>
    </row>
    <row r="196" customFormat="false" ht="23.85" hidden="false" customHeight="false" outlineLevel="0" collapsed="false">
      <c r="A196" s="10" t="s">
        <v>190</v>
      </c>
      <c r="B196" s="10" t="s">
        <v>207</v>
      </c>
      <c r="C196" s="10" t="s">
        <v>208</v>
      </c>
      <c r="D196" s="10" t="s">
        <v>209</v>
      </c>
      <c r="E196" s="10" t="s">
        <v>210</v>
      </c>
      <c r="F196" s="10" t="s">
        <v>40</v>
      </c>
      <c r="G196" s="10" t="s">
        <v>34</v>
      </c>
      <c r="H196" s="10" t="s">
        <v>41</v>
      </c>
      <c r="I196" s="28" t="s">
        <v>167</v>
      </c>
      <c r="J196" s="10" t="s">
        <v>12</v>
      </c>
      <c r="K196" s="10" t="s">
        <v>446</v>
      </c>
      <c r="L196" s="10" t="s">
        <v>444</v>
      </c>
      <c r="M196" s="10" t="s">
        <v>445</v>
      </c>
    </row>
    <row r="197" customFormat="false" ht="23.85" hidden="false" customHeight="false" outlineLevel="0" collapsed="false">
      <c r="A197" s="10" t="s">
        <v>190</v>
      </c>
      <c r="B197" s="10" t="s">
        <v>207</v>
      </c>
      <c r="C197" s="10" t="s">
        <v>208</v>
      </c>
      <c r="D197" s="10" t="s">
        <v>209</v>
      </c>
      <c r="E197" s="10" t="s">
        <v>210</v>
      </c>
      <c r="F197" s="10" t="s">
        <v>43</v>
      </c>
      <c r="G197" s="10" t="s">
        <v>34</v>
      </c>
      <c r="H197" s="10" t="s">
        <v>44</v>
      </c>
      <c r="I197" s="28" t="s">
        <v>167</v>
      </c>
      <c r="J197" s="10" t="s">
        <v>12</v>
      </c>
      <c r="K197" s="10" t="s">
        <v>447</v>
      </c>
      <c r="L197" s="10" t="s">
        <v>444</v>
      </c>
      <c r="M197" s="10" t="s">
        <v>445</v>
      </c>
    </row>
    <row r="198" customFormat="false" ht="23.85" hidden="false" customHeight="false" outlineLevel="0" collapsed="false">
      <c r="A198" s="10" t="s">
        <v>190</v>
      </c>
      <c r="B198" s="10" t="s">
        <v>207</v>
      </c>
      <c r="C198" s="10" t="s">
        <v>208</v>
      </c>
      <c r="D198" s="10" t="s">
        <v>209</v>
      </c>
      <c r="E198" s="10" t="s">
        <v>210</v>
      </c>
      <c r="F198" s="10" t="s">
        <v>46</v>
      </c>
      <c r="G198" s="10" t="s">
        <v>34</v>
      </c>
      <c r="H198" s="10" t="s">
        <v>47</v>
      </c>
      <c r="I198" s="27" t="s">
        <v>166</v>
      </c>
      <c r="J198" s="10" t="s">
        <v>20</v>
      </c>
      <c r="K198" s="10" t="s">
        <v>267</v>
      </c>
      <c r="L198" s="10"/>
      <c r="M198" s="10"/>
    </row>
    <row r="199" customFormat="false" ht="23.85" hidden="false" customHeight="false" outlineLevel="0" collapsed="false">
      <c r="A199" s="10" t="s">
        <v>190</v>
      </c>
      <c r="B199" s="10" t="s">
        <v>207</v>
      </c>
      <c r="C199" s="10" t="s">
        <v>208</v>
      </c>
      <c r="D199" s="10" t="s">
        <v>209</v>
      </c>
      <c r="E199" s="10" t="s">
        <v>210</v>
      </c>
      <c r="F199" s="10" t="s">
        <v>49</v>
      </c>
      <c r="G199" s="10" t="s">
        <v>34</v>
      </c>
      <c r="H199" s="10" t="s">
        <v>50</v>
      </c>
      <c r="I199" s="28" t="s">
        <v>167</v>
      </c>
      <c r="J199" s="10" t="s">
        <v>12</v>
      </c>
      <c r="K199" s="10" t="s">
        <v>448</v>
      </c>
      <c r="L199" s="10" t="s">
        <v>449</v>
      </c>
      <c r="M199" s="10" t="s">
        <v>450</v>
      </c>
    </row>
    <row r="200" customFormat="false" ht="23.85" hidden="false" customHeight="false" outlineLevel="0" collapsed="false">
      <c r="A200" s="10" t="s">
        <v>190</v>
      </c>
      <c r="B200" s="10" t="s">
        <v>207</v>
      </c>
      <c r="C200" s="10" t="s">
        <v>208</v>
      </c>
      <c r="D200" s="10" t="s">
        <v>209</v>
      </c>
      <c r="E200" s="10" t="s">
        <v>210</v>
      </c>
      <c r="F200" s="10" t="s">
        <v>52</v>
      </c>
      <c r="G200" s="10" t="s">
        <v>34</v>
      </c>
      <c r="H200" s="10" t="s">
        <v>53</v>
      </c>
      <c r="I200" s="28" t="s">
        <v>167</v>
      </c>
      <c r="J200" s="10" t="s">
        <v>12</v>
      </c>
      <c r="K200" s="10" t="s">
        <v>451</v>
      </c>
      <c r="L200" s="10" t="s">
        <v>444</v>
      </c>
      <c r="M200" s="10" t="s">
        <v>445</v>
      </c>
    </row>
    <row r="201" customFormat="false" ht="23.85" hidden="false" customHeight="false" outlineLevel="0" collapsed="false">
      <c r="A201" s="10" t="s">
        <v>190</v>
      </c>
      <c r="B201" s="10" t="s">
        <v>207</v>
      </c>
      <c r="C201" s="10" t="s">
        <v>208</v>
      </c>
      <c r="D201" s="10" t="s">
        <v>209</v>
      </c>
      <c r="E201" s="10" t="s">
        <v>210</v>
      </c>
      <c r="F201" s="10" t="s">
        <v>55</v>
      </c>
      <c r="G201" s="10" t="s">
        <v>34</v>
      </c>
      <c r="H201" s="10" t="s">
        <v>56</v>
      </c>
      <c r="I201" s="27" t="s">
        <v>166</v>
      </c>
      <c r="J201" s="10" t="s">
        <v>20</v>
      </c>
      <c r="K201" s="10" t="s">
        <v>267</v>
      </c>
      <c r="L201" s="10"/>
      <c r="M201" s="10"/>
    </row>
    <row r="202" customFormat="false" ht="23.85" hidden="false" customHeight="false" outlineLevel="0" collapsed="false">
      <c r="A202" s="10" t="s">
        <v>190</v>
      </c>
      <c r="B202" s="10" t="s">
        <v>207</v>
      </c>
      <c r="C202" s="10" t="s">
        <v>208</v>
      </c>
      <c r="D202" s="10" t="s">
        <v>209</v>
      </c>
      <c r="E202" s="10" t="s">
        <v>210</v>
      </c>
      <c r="F202" s="10" t="s">
        <v>58</v>
      </c>
      <c r="G202" s="10" t="s">
        <v>34</v>
      </c>
      <c r="H202" s="10" t="s">
        <v>59</v>
      </c>
      <c r="I202" s="27" t="s">
        <v>166</v>
      </c>
      <c r="J202" s="10" t="s">
        <v>20</v>
      </c>
      <c r="K202" s="10" t="s">
        <v>267</v>
      </c>
      <c r="L202" s="10"/>
      <c r="M202" s="10"/>
    </row>
    <row r="203" customFormat="false" ht="23.85" hidden="false" customHeight="false" outlineLevel="0" collapsed="false">
      <c r="A203" s="10" t="s">
        <v>190</v>
      </c>
      <c r="B203" s="10" t="s">
        <v>207</v>
      </c>
      <c r="C203" s="10" t="s">
        <v>208</v>
      </c>
      <c r="D203" s="10" t="s">
        <v>209</v>
      </c>
      <c r="E203" s="10" t="s">
        <v>210</v>
      </c>
      <c r="F203" s="10" t="s">
        <v>61</v>
      </c>
      <c r="G203" s="10" t="s">
        <v>62</v>
      </c>
      <c r="H203" s="10" t="s">
        <v>63</v>
      </c>
      <c r="I203" s="27" t="s">
        <v>166</v>
      </c>
      <c r="J203" s="10" t="s">
        <v>20</v>
      </c>
      <c r="K203" s="10" t="s">
        <v>452</v>
      </c>
      <c r="L203" s="10"/>
      <c r="M203" s="10"/>
    </row>
    <row r="204" customFormat="false" ht="35.05" hidden="false" customHeight="false" outlineLevel="0" collapsed="false">
      <c r="A204" s="10" t="s">
        <v>190</v>
      </c>
      <c r="B204" s="10" t="s">
        <v>207</v>
      </c>
      <c r="C204" s="10" t="s">
        <v>208</v>
      </c>
      <c r="D204" s="10" t="s">
        <v>209</v>
      </c>
      <c r="E204" s="10" t="s">
        <v>210</v>
      </c>
      <c r="F204" s="10" t="s">
        <v>65</v>
      </c>
      <c r="G204" s="10" t="s">
        <v>62</v>
      </c>
      <c r="H204" s="10" t="s">
        <v>66</v>
      </c>
      <c r="I204" s="28" t="s">
        <v>167</v>
      </c>
      <c r="J204" s="10" t="s">
        <v>12</v>
      </c>
      <c r="K204" s="10" t="s">
        <v>453</v>
      </c>
      <c r="L204" s="10" t="s">
        <v>454</v>
      </c>
      <c r="M204" s="10" t="s">
        <v>455</v>
      </c>
    </row>
    <row r="205" customFormat="false" ht="23.85" hidden="false" customHeight="false" outlineLevel="0" collapsed="false">
      <c r="A205" s="10" t="s">
        <v>190</v>
      </c>
      <c r="B205" s="10" t="s">
        <v>207</v>
      </c>
      <c r="C205" s="10" t="s">
        <v>208</v>
      </c>
      <c r="D205" s="10" t="s">
        <v>209</v>
      </c>
      <c r="E205" s="10" t="s">
        <v>210</v>
      </c>
      <c r="F205" s="10" t="s">
        <v>68</v>
      </c>
      <c r="G205" s="10" t="s">
        <v>62</v>
      </c>
      <c r="H205" s="10" t="s">
        <v>69</v>
      </c>
      <c r="I205" s="30" t="s">
        <v>211</v>
      </c>
      <c r="J205" s="10" t="s">
        <v>18</v>
      </c>
      <c r="K205" s="10" t="s">
        <v>456</v>
      </c>
      <c r="L205" s="10" t="s">
        <v>449</v>
      </c>
      <c r="M205" s="10" t="s">
        <v>450</v>
      </c>
    </row>
    <row r="206" customFormat="false" ht="23.85" hidden="false" customHeight="false" outlineLevel="0" collapsed="false">
      <c r="A206" s="10" t="s">
        <v>190</v>
      </c>
      <c r="B206" s="10" t="s">
        <v>207</v>
      </c>
      <c r="C206" s="10" t="s">
        <v>208</v>
      </c>
      <c r="D206" s="10" t="s">
        <v>209</v>
      </c>
      <c r="E206" s="10" t="s">
        <v>210</v>
      </c>
      <c r="F206" s="10" t="s">
        <v>71</v>
      </c>
      <c r="G206" s="10" t="s">
        <v>62</v>
      </c>
      <c r="H206" s="10" t="s">
        <v>72</v>
      </c>
      <c r="I206" s="28" t="s">
        <v>167</v>
      </c>
      <c r="J206" s="10" t="s">
        <v>12</v>
      </c>
      <c r="K206" s="10" t="s">
        <v>457</v>
      </c>
      <c r="L206" s="10" t="s">
        <v>458</v>
      </c>
      <c r="M206" s="10" t="s">
        <v>459</v>
      </c>
    </row>
    <row r="207" customFormat="false" ht="23.85" hidden="false" customHeight="false" outlineLevel="0" collapsed="false">
      <c r="A207" s="10" t="s">
        <v>190</v>
      </c>
      <c r="B207" s="10" t="s">
        <v>207</v>
      </c>
      <c r="C207" s="10" t="s">
        <v>208</v>
      </c>
      <c r="D207" s="10" t="s">
        <v>209</v>
      </c>
      <c r="E207" s="10" t="s">
        <v>210</v>
      </c>
      <c r="F207" s="10" t="s">
        <v>74</v>
      </c>
      <c r="G207" s="10" t="s">
        <v>62</v>
      </c>
      <c r="H207" s="10" t="s">
        <v>75</v>
      </c>
      <c r="I207" s="28" t="s">
        <v>167</v>
      </c>
      <c r="J207" s="10" t="s">
        <v>12</v>
      </c>
      <c r="K207" s="10" t="s">
        <v>460</v>
      </c>
      <c r="L207" s="10" t="s">
        <v>461</v>
      </c>
      <c r="M207" s="10" t="s">
        <v>462</v>
      </c>
    </row>
    <row r="208" customFormat="false" ht="23.85" hidden="false" customHeight="false" outlineLevel="0" collapsed="false">
      <c r="A208" s="10" t="s">
        <v>190</v>
      </c>
      <c r="B208" s="10" t="s">
        <v>207</v>
      </c>
      <c r="C208" s="10" t="s">
        <v>208</v>
      </c>
      <c r="D208" s="10" t="s">
        <v>209</v>
      </c>
      <c r="E208" s="10" t="s">
        <v>210</v>
      </c>
      <c r="F208" s="10" t="s">
        <v>77</v>
      </c>
      <c r="G208" s="10" t="s">
        <v>62</v>
      </c>
      <c r="H208" s="10" t="s">
        <v>78</v>
      </c>
      <c r="I208" s="30" t="s">
        <v>211</v>
      </c>
      <c r="J208" s="10" t="s">
        <v>18</v>
      </c>
      <c r="K208" s="10" t="s">
        <v>463</v>
      </c>
      <c r="L208" s="10" t="s">
        <v>444</v>
      </c>
      <c r="M208" s="10" t="s">
        <v>445</v>
      </c>
    </row>
    <row r="209" customFormat="false" ht="23.85" hidden="false" customHeight="false" outlineLevel="0" collapsed="false">
      <c r="A209" s="10" t="s">
        <v>190</v>
      </c>
      <c r="B209" s="10" t="s">
        <v>207</v>
      </c>
      <c r="C209" s="10" t="s">
        <v>208</v>
      </c>
      <c r="D209" s="10" t="s">
        <v>209</v>
      </c>
      <c r="E209" s="10" t="s">
        <v>210</v>
      </c>
      <c r="F209" s="10" t="s">
        <v>80</v>
      </c>
      <c r="G209" s="10" t="s">
        <v>62</v>
      </c>
      <c r="H209" s="10" t="s">
        <v>81</v>
      </c>
      <c r="I209" s="27" t="s">
        <v>166</v>
      </c>
      <c r="J209" s="10" t="s">
        <v>20</v>
      </c>
      <c r="K209" s="10" t="s">
        <v>267</v>
      </c>
      <c r="L209" s="10"/>
      <c r="M209" s="10"/>
    </row>
    <row r="210" customFormat="false" ht="23.85" hidden="false" customHeight="false" outlineLevel="0" collapsed="false">
      <c r="A210" s="10" t="s">
        <v>190</v>
      </c>
      <c r="B210" s="10" t="s">
        <v>207</v>
      </c>
      <c r="C210" s="10" t="s">
        <v>208</v>
      </c>
      <c r="D210" s="10" t="s">
        <v>209</v>
      </c>
      <c r="E210" s="10" t="s">
        <v>210</v>
      </c>
      <c r="F210" s="10" t="s">
        <v>83</v>
      </c>
      <c r="G210" s="10" t="s">
        <v>84</v>
      </c>
      <c r="H210" s="10" t="s">
        <v>85</v>
      </c>
      <c r="I210" s="28" t="s">
        <v>167</v>
      </c>
      <c r="J210" s="10" t="s">
        <v>12</v>
      </c>
      <c r="K210" s="10" t="s">
        <v>464</v>
      </c>
      <c r="L210" s="10" t="s">
        <v>444</v>
      </c>
      <c r="M210" s="10" t="s">
        <v>445</v>
      </c>
    </row>
    <row r="211" customFormat="false" ht="23.85" hidden="false" customHeight="false" outlineLevel="0" collapsed="false">
      <c r="A211" s="10" t="s">
        <v>190</v>
      </c>
      <c r="B211" s="10" t="s">
        <v>207</v>
      </c>
      <c r="C211" s="10" t="s">
        <v>208</v>
      </c>
      <c r="D211" s="10" t="s">
        <v>209</v>
      </c>
      <c r="E211" s="10" t="s">
        <v>210</v>
      </c>
      <c r="F211" s="10" t="s">
        <v>87</v>
      </c>
      <c r="G211" s="10" t="s">
        <v>84</v>
      </c>
      <c r="H211" s="10" t="s">
        <v>88</v>
      </c>
      <c r="I211" s="27" t="s">
        <v>166</v>
      </c>
      <c r="J211" s="10" t="s">
        <v>20</v>
      </c>
      <c r="K211" s="10" t="s">
        <v>267</v>
      </c>
      <c r="L211" s="10"/>
      <c r="M211" s="10"/>
    </row>
    <row r="212" customFormat="false" ht="23.85" hidden="false" customHeight="false" outlineLevel="0" collapsed="false">
      <c r="A212" s="10" t="s">
        <v>190</v>
      </c>
      <c r="B212" s="10" t="s">
        <v>207</v>
      </c>
      <c r="C212" s="10" t="s">
        <v>208</v>
      </c>
      <c r="D212" s="10" t="s">
        <v>209</v>
      </c>
      <c r="E212" s="10" t="s">
        <v>210</v>
      </c>
      <c r="F212" s="10" t="s">
        <v>90</v>
      </c>
      <c r="G212" s="10" t="s">
        <v>84</v>
      </c>
      <c r="H212" s="10" t="s">
        <v>91</v>
      </c>
      <c r="I212" s="27" t="s">
        <v>166</v>
      </c>
      <c r="J212" s="10" t="s">
        <v>20</v>
      </c>
      <c r="K212" s="10" t="s">
        <v>267</v>
      </c>
      <c r="L212" s="10"/>
      <c r="M212" s="10"/>
    </row>
    <row r="213" customFormat="false" ht="23.85" hidden="false" customHeight="false" outlineLevel="0" collapsed="false">
      <c r="A213" s="10" t="s">
        <v>190</v>
      </c>
      <c r="B213" s="10" t="s">
        <v>207</v>
      </c>
      <c r="C213" s="10" t="s">
        <v>208</v>
      </c>
      <c r="D213" s="10" t="s">
        <v>209</v>
      </c>
      <c r="E213" s="10" t="s">
        <v>210</v>
      </c>
      <c r="F213" s="10" t="s">
        <v>93</v>
      </c>
      <c r="G213" s="10" t="s">
        <v>84</v>
      </c>
      <c r="H213" s="10" t="s">
        <v>94</v>
      </c>
      <c r="I213" s="28" t="s">
        <v>167</v>
      </c>
      <c r="J213" s="10" t="s">
        <v>12</v>
      </c>
      <c r="K213" s="10" t="s">
        <v>465</v>
      </c>
      <c r="L213" s="10" t="s">
        <v>444</v>
      </c>
      <c r="M213" s="10" t="s">
        <v>445</v>
      </c>
    </row>
    <row r="214" customFormat="false" ht="46.25" hidden="false" customHeight="false" outlineLevel="0" collapsed="false">
      <c r="A214" s="10" t="s">
        <v>190</v>
      </c>
      <c r="B214" s="10" t="s">
        <v>207</v>
      </c>
      <c r="C214" s="10" t="s">
        <v>208</v>
      </c>
      <c r="D214" s="10" t="s">
        <v>209</v>
      </c>
      <c r="E214" s="10" t="s">
        <v>210</v>
      </c>
      <c r="F214" s="10" t="s">
        <v>96</v>
      </c>
      <c r="G214" s="10" t="s">
        <v>97</v>
      </c>
      <c r="H214" s="10" t="s">
        <v>98</v>
      </c>
      <c r="I214" s="28" t="s">
        <v>167</v>
      </c>
      <c r="J214" s="10" t="s">
        <v>12</v>
      </c>
      <c r="K214" s="10" t="s">
        <v>466</v>
      </c>
      <c r="L214" s="10" t="s">
        <v>467</v>
      </c>
      <c r="M214" s="10" t="s">
        <v>468</v>
      </c>
    </row>
    <row r="215" customFormat="false" ht="23.85" hidden="false" customHeight="false" outlineLevel="0" collapsed="false">
      <c r="A215" s="10" t="s">
        <v>190</v>
      </c>
      <c r="B215" s="10" t="s">
        <v>207</v>
      </c>
      <c r="C215" s="10" t="s">
        <v>208</v>
      </c>
      <c r="D215" s="10" t="s">
        <v>209</v>
      </c>
      <c r="E215" s="10" t="s">
        <v>210</v>
      </c>
      <c r="F215" s="10" t="s">
        <v>100</v>
      </c>
      <c r="G215" s="10" t="s">
        <v>97</v>
      </c>
      <c r="H215" s="10" t="s">
        <v>101</v>
      </c>
      <c r="I215" s="27" t="s">
        <v>166</v>
      </c>
      <c r="J215" s="10" t="s">
        <v>20</v>
      </c>
      <c r="K215" s="10" t="s">
        <v>267</v>
      </c>
      <c r="L215" s="10"/>
      <c r="M215" s="10"/>
    </row>
    <row r="216" customFormat="false" ht="23.85" hidden="false" customHeight="false" outlineLevel="0" collapsed="false">
      <c r="A216" s="10" t="s">
        <v>190</v>
      </c>
      <c r="B216" s="10" t="s">
        <v>207</v>
      </c>
      <c r="C216" s="10" t="s">
        <v>208</v>
      </c>
      <c r="D216" s="10" t="s">
        <v>209</v>
      </c>
      <c r="E216" s="10" t="s">
        <v>210</v>
      </c>
      <c r="F216" s="10" t="s">
        <v>103</v>
      </c>
      <c r="G216" s="10" t="s">
        <v>97</v>
      </c>
      <c r="H216" s="10" t="s">
        <v>104</v>
      </c>
      <c r="I216" s="27" t="s">
        <v>166</v>
      </c>
      <c r="J216" s="10" t="s">
        <v>20</v>
      </c>
      <c r="K216" s="10" t="s">
        <v>267</v>
      </c>
      <c r="L216" s="10"/>
      <c r="M216" s="10"/>
    </row>
    <row r="217" customFormat="false" ht="23.85" hidden="false" customHeight="false" outlineLevel="0" collapsed="false">
      <c r="A217" s="10" t="s">
        <v>190</v>
      </c>
      <c r="B217" s="10" t="s">
        <v>207</v>
      </c>
      <c r="C217" s="10" t="s">
        <v>208</v>
      </c>
      <c r="D217" s="10" t="s">
        <v>209</v>
      </c>
      <c r="E217" s="10" t="s">
        <v>210</v>
      </c>
      <c r="F217" s="10" t="s">
        <v>106</v>
      </c>
      <c r="G217" s="10" t="s">
        <v>97</v>
      </c>
      <c r="H217" s="10" t="s">
        <v>107</v>
      </c>
      <c r="I217" s="27" t="s">
        <v>166</v>
      </c>
      <c r="J217" s="10" t="s">
        <v>20</v>
      </c>
      <c r="K217" s="10" t="s">
        <v>267</v>
      </c>
      <c r="L217" s="10"/>
      <c r="M217" s="10"/>
    </row>
  </sheetData>
  <autoFilter ref="A1:M2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16"/>
    <col collapsed="false" customWidth="true" hidden="false" outlineLevel="0" max="4" min="4" style="0" width="90"/>
  </cols>
  <sheetData>
    <row r="1" customFormat="false" ht="26.85" hidden="false" customHeight="false" outlineLevel="0" collapsed="false">
      <c r="A1" s="9" t="s">
        <v>469</v>
      </c>
      <c r="B1" s="9" t="s">
        <v>470</v>
      </c>
      <c r="C1" s="9" t="s">
        <v>471</v>
      </c>
      <c r="D1" s="9" t="s">
        <v>472</v>
      </c>
    </row>
    <row r="2" customFormat="false" ht="45" hidden="false" customHeight="true" outlineLevel="0" collapsed="false">
      <c r="A2" s="11" t="s">
        <v>473</v>
      </c>
      <c r="B2" s="31" t="n">
        <f aca="false">100%</f>
        <v>1</v>
      </c>
      <c r="C2" s="11" t="n">
        <f aca="false">COUNTIF('Coverage Matrix'!$AJ$2:$AJ$10,"&gt;=1")</f>
        <v>0</v>
      </c>
      <c r="D2" s="10" t="s">
        <v>474</v>
      </c>
    </row>
    <row r="3" customFormat="false" ht="45" hidden="false" customHeight="true" outlineLevel="0" collapsed="false">
      <c r="A3" s="11" t="s">
        <v>475</v>
      </c>
      <c r="B3" s="10" t="s">
        <v>476</v>
      </c>
      <c r="C3" s="11" t="n">
        <f aca="false">COUNTIFS('Coverage Matrix'!$AJ$2:$AJ$10,"&gt;=0.75",'Coverage Matrix'!$AJ$2:$AJ$10,"&lt;1")</f>
        <v>0</v>
      </c>
      <c r="D3" s="10" t="s">
        <v>477</v>
      </c>
    </row>
    <row r="4" customFormat="false" ht="45" hidden="false" customHeight="true" outlineLevel="0" collapsed="false">
      <c r="A4" s="11" t="s">
        <v>478</v>
      </c>
      <c r="B4" s="10" t="s">
        <v>479</v>
      </c>
      <c r="C4" s="11" t="n">
        <f aca="false">COUNTIFS('Coverage Matrix'!$AJ$2:$AJ$10,"&gt;=0.5",'Coverage Matrix'!$AJ$2:$AJ$10,"&lt;0.75")</f>
        <v>2</v>
      </c>
      <c r="D4" s="10" t="s">
        <v>480</v>
      </c>
    </row>
    <row r="5" customFormat="false" ht="45" hidden="false" customHeight="true" outlineLevel="0" collapsed="false">
      <c r="A5" s="11" t="s">
        <v>481</v>
      </c>
      <c r="B5" s="10" t="s">
        <v>482</v>
      </c>
      <c r="C5" s="11" t="n">
        <f aca="false">COUNTIFS('Coverage Matrix'!$AJ$2:$AJ$10,"&gt;=0.25",'Coverage Matrix'!$AJ$2:$AJ$10,"&lt;0.5")</f>
        <v>4</v>
      </c>
      <c r="D5" s="10" t="s">
        <v>483</v>
      </c>
    </row>
    <row r="6" customFormat="false" ht="45" hidden="false" customHeight="true" outlineLevel="0" collapsed="false">
      <c r="A6" s="11" t="s">
        <v>484</v>
      </c>
      <c r="B6" s="10" t="s">
        <v>485</v>
      </c>
      <c r="C6" s="11" t="n">
        <f aca="false">COUNTIF('Coverage Matrix'!$AJ$2:$AJ$10,"&lt;0.25")</f>
        <v>3</v>
      </c>
      <c r="D6" s="10" t="s">
        <v>486</v>
      </c>
    </row>
    <row r="8" customFormat="false" ht="15" hidden="false" customHeight="false" outlineLevel="0" collapsed="false">
      <c r="A8" s="25" t="s">
        <v>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60"/>
    <col collapsed="false" customWidth="true" hidden="false" outlineLevel="0" max="4" min="4" style="0" width="80"/>
    <col collapsed="false" customWidth="true" hidden="false" outlineLevel="0" max="5" min="5" style="0" width="24"/>
    <col collapsed="false" customWidth="true" hidden="false" outlineLevel="0" max="6" min="6" style="0" width="40"/>
  </cols>
  <sheetData>
    <row r="1" customFormat="false" ht="15" hidden="false" customHeight="false" outlineLevel="0" collapsed="false">
      <c r="A1" s="9" t="s">
        <v>488</v>
      </c>
      <c r="B1" s="9" t="s">
        <v>489</v>
      </c>
      <c r="C1" s="9" t="s">
        <v>490</v>
      </c>
      <c r="D1" s="9" t="s">
        <v>491</v>
      </c>
      <c r="E1" s="9" t="s">
        <v>492</v>
      </c>
      <c r="F1" s="9" t="s">
        <v>493</v>
      </c>
    </row>
    <row r="2" customFormat="false" ht="23.85" hidden="false" customHeight="false" outlineLevel="0" collapsed="false">
      <c r="A2" s="10" t="s">
        <v>269</v>
      </c>
      <c r="B2" s="10" t="s">
        <v>494</v>
      </c>
      <c r="C2" s="10" t="s">
        <v>495</v>
      </c>
      <c r="D2" s="32" t="s">
        <v>270</v>
      </c>
      <c r="E2" s="10" t="s">
        <v>496</v>
      </c>
      <c r="F2" s="10" t="s">
        <v>497</v>
      </c>
    </row>
    <row r="3" customFormat="false" ht="15" hidden="false" customHeight="false" outlineLevel="0" collapsed="false">
      <c r="A3" s="10" t="s">
        <v>414</v>
      </c>
      <c r="B3" s="10" t="s">
        <v>498</v>
      </c>
      <c r="C3" s="10" t="s">
        <v>499</v>
      </c>
      <c r="D3" s="32" t="s">
        <v>415</v>
      </c>
      <c r="E3" s="10" t="s">
        <v>500</v>
      </c>
      <c r="F3" s="10" t="s">
        <v>501</v>
      </c>
    </row>
    <row r="4" customFormat="false" ht="15" hidden="false" customHeight="false" outlineLevel="0" collapsed="false">
      <c r="A4" s="10" t="s">
        <v>502</v>
      </c>
      <c r="B4" s="10" t="s">
        <v>498</v>
      </c>
      <c r="C4" s="10" t="s">
        <v>503</v>
      </c>
      <c r="D4" s="32" t="s">
        <v>504</v>
      </c>
      <c r="E4" s="10" t="s">
        <v>500</v>
      </c>
      <c r="F4" s="10" t="s">
        <v>501</v>
      </c>
    </row>
    <row r="5" customFormat="false" ht="23.85" hidden="false" customHeight="false" outlineLevel="0" collapsed="false">
      <c r="A5" s="10" t="s">
        <v>505</v>
      </c>
      <c r="B5" s="10" t="s">
        <v>498</v>
      </c>
      <c r="C5" s="10" t="s">
        <v>506</v>
      </c>
      <c r="D5" s="32" t="s">
        <v>507</v>
      </c>
      <c r="E5" s="10" t="s">
        <v>500</v>
      </c>
      <c r="F5" s="10" t="s">
        <v>508</v>
      </c>
    </row>
    <row r="6" customFormat="false" ht="15" hidden="false" customHeight="false" outlineLevel="0" collapsed="false">
      <c r="A6" s="10" t="s">
        <v>509</v>
      </c>
      <c r="B6" s="10" t="s">
        <v>510</v>
      </c>
      <c r="C6" s="10" t="s">
        <v>511</v>
      </c>
      <c r="D6" s="32" t="s">
        <v>512</v>
      </c>
      <c r="E6" s="10" t="s">
        <v>500</v>
      </c>
      <c r="F6" s="10" t="s">
        <v>513</v>
      </c>
    </row>
    <row r="7" customFormat="false" ht="23.85" hidden="false" customHeight="false" outlineLevel="0" collapsed="false">
      <c r="A7" s="10" t="s">
        <v>514</v>
      </c>
      <c r="B7" s="10" t="s">
        <v>515</v>
      </c>
      <c r="C7" s="10" t="s">
        <v>516</v>
      </c>
      <c r="D7" s="32" t="s">
        <v>517</v>
      </c>
      <c r="E7" s="10" t="s">
        <v>500</v>
      </c>
      <c r="F7" s="10" t="s">
        <v>508</v>
      </c>
    </row>
    <row r="8" customFormat="false" ht="23.85" hidden="false" customHeight="false" outlineLevel="0" collapsed="false">
      <c r="A8" s="10" t="s">
        <v>518</v>
      </c>
      <c r="B8" s="10" t="s">
        <v>519</v>
      </c>
      <c r="C8" s="10" t="s">
        <v>520</v>
      </c>
      <c r="D8" s="32" t="s">
        <v>521</v>
      </c>
      <c r="E8" s="10" t="s">
        <v>500</v>
      </c>
      <c r="F8" s="10" t="s">
        <v>513</v>
      </c>
    </row>
    <row r="9" customFormat="false" ht="15" hidden="false" customHeight="false" outlineLevel="0" collapsed="false">
      <c r="A9" s="10" t="s">
        <v>522</v>
      </c>
      <c r="B9" s="10" t="s">
        <v>523</v>
      </c>
      <c r="C9" s="10" t="s">
        <v>524</v>
      </c>
      <c r="D9" s="32" t="s">
        <v>525</v>
      </c>
      <c r="E9" s="10" t="s">
        <v>526</v>
      </c>
      <c r="F9" s="10" t="s">
        <v>508</v>
      </c>
    </row>
    <row r="10" customFormat="false" ht="15" hidden="false" customHeight="false" outlineLevel="0" collapsed="false">
      <c r="A10" s="10" t="s">
        <v>527</v>
      </c>
      <c r="B10" s="10" t="s">
        <v>528</v>
      </c>
      <c r="C10" s="10" t="s">
        <v>529</v>
      </c>
      <c r="D10" s="32" t="s">
        <v>530</v>
      </c>
      <c r="E10" s="10" t="s">
        <v>531</v>
      </c>
      <c r="F10" s="10" t="s">
        <v>508</v>
      </c>
    </row>
    <row r="11" customFormat="false" ht="15" hidden="false" customHeight="false" outlineLevel="0" collapsed="false">
      <c r="A11" s="10" t="s">
        <v>253</v>
      </c>
      <c r="B11" s="10" t="s">
        <v>532</v>
      </c>
      <c r="C11" s="10" t="s">
        <v>533</v>
      </c>
      <c r="D11" s="32" t="s">
        <v>254</v>
      </c>
      <c r="E11" s="10" t="s">
        <v>534</v>
      </c>
      <c r="F11" s="10" t="s">
        <v>535</v>
      </c>
    </row>
    <row r="12" customFormat="false" ht="15" hidden="false" customHeight="false" outlineLevel="0" collapsed="false">
      <c r="A12" s="10" t="s">
        <v>536</v>
      </c>
      <c r="B12" s="10" t="s">
        <v>532</v>
      </c>
      <c r="C12" s="10" t="s">
        <v>537</v>
      </c>
      <c r="D12" s="32" t="s">
        <v>538</v>
      </c>
      <c r="E12" s="10" t="s">
        <v>534</v>
      </c>
      <c r="F12" s="10" t="s">
        <v>535</v>
      </c>
    </row>
    <row r="13" customFormat="false" ht="15" hidden="false" customHeight="false" outlineLevel="0" collapsed="false">
      <c r="A13" s="10" t="s">
        <v>539</v>
      </c>
      <c r="B13" s="10" t="s">
        <v>532</v>
      </c>
      <c r="C13" s="10" t="s">
        <v>540</v>
      </c>
      <c r="D13" s="32" t="s">
        <v>541</v>
      </c>
      <c r="E13" s="10" t="s">
        <v>542</v>
      </c>
      <c r="F13" s="10" t="s">
        <v>535</v>
      </c>
    </row>
    <row r="14" customFormat="false" ht="15" hidden="false" customHeight="false" outlineLevel="0" collapsed="false">
      <c r="A14" s="10" t="s">
        <v>262</v>
      </c>
      <c r="B14" s="10" t="s">
        <v>532</v>
      </c>
      <c r="C14" s="10" t="s">
        <v>543</v>
      </c>
      <c r="D14" s="32" t="s">
        <v>263</v>
      </c>
      <c r="E14" s="10" t="s">
        <v>542</v>
      </c>
      <c r="F14" s="10" t="s">
        <v>535</v>
      </c>
    </row>
    <row r="15" customFormat="false" ht="15" hidden="false" customHeight="false" outlineLevel="0" collapsed="false">
      <c r="A15" s="10" t="s">
        <v>228</v>
      </c>
      <c r="B15" s="10" t="s">
        <v>532</v>
      </c>
      <c r="C15" s="10" t="s">
        <v>544</v>
      </c>
      <c r="D15" s="32" t="s">
        <v>229</v>
      </c>
      <c r="E15" s="10" t="s">
        <v>545</v>
      </c>
      <c r="F15" s="10" t="s">
        <v>535</v>
      </c>
    </row>
    <row r="16" customFormat="false" ht="15" hidden="false" customHeight="false" outlineLevel="0" collapsed="false">
      <c r="A16" s="10" t="s">
        <v>250</v>
      </c>
      <c r="B16" s="10" t="s">
        <v>532</v>
      </c>
      <c r="C16" s="10" t="s">
        <v>546</v>
      </c>
      <c r="D16" s="32" t="s">
        <v>251</v>
      </c>
      <c r="E16" s="10" t="s">
        <v>545</v>
      </c>
      <c r="F16" s="10" t="s">
        <v>535</v>
      </c>
    </row>
    <row r="17" customFormat="false" ht="15" hidden="false" customHeight="false" outlineLevel="0" collapsed="false">
      <c r="A17" s="10" t="s">
        <v>547</v>
      </c>
      <c r="B17" s="10" t="s">
        <v>532</v>
      </c>
      <c r="C17" s="10" t="s">
        <v>548</v>
      </c>
      <c r="D17" s="32" t="s">
        <v>549</v>
      </c>
      <c r="E17" s="10" t="s">
        <v>534</v>
      </c>
      <c r="F17" s="10" t="s">
        <v>535</v>
      </c>
    </row>
    <row r="18" customFormat="false" ht="15" hidden="false" customHeight="false" outlineLevel="0" collapsed="false">
      <c r="A18" s="10" t="s">
        <v>275</v>
      </c>
      <c r="B18" s="10" t="s">
        <v>550</v>
      </c>
      <c r="C18" s="10" t="s">
        <v>551</v>
      </c>
      <c r="D18" s="32" t="s">
        <v>276</v>
      </c>
      <c r="E18" s="10" t="s">
        <v>542</v>
      </c>
      <c r="F18" s="10" t="s">
        <v>552</v>
      </c>
    </row>
    <row r="19" customFormat="false" ht="15" hidden="false" customHeight="false" outlineLevel="0" collapsed="false">
      <c r="A19" s="10" t="s">
        <v>553</v>
      </c>
      <c r="B19" s="10" t="s">
        <v>170</v>
      </c>
      <c r="C19" s="10" t="s">
        <v>554</v>
      </c>
      <c r="D19" s="32" t="s">
        <v>555</v>
      </c>
      <c r="E19" s="10" t="s">
        <v>556</v>
      </c>
      <c r="F19" s="10" t="s">
        <v>552</v>
      </c>
    </row>
    <row r="20" customFormat="false" ht="15" hidden="false" customHeight="false" outlineLevel="0" collapsed="false">
      <c r="A20" s="10" t="s">
        <v>291</v>
      </c>
      <c r="B20" s="10" t="s">
        <v>170</v>
      </c>
      <c r="C20" s="10" t="s">
        <v>557</v>
      </c>
      <c r="D20" s="32" t="s">
        <v>292</v>
      </c>
      <c r="E20" s="10" t="s">
        <v>556</v>
      </c>
      <c r="F20" s="10" t="s">
        <v>552</v>
      </c>
    </row>
    <row r="21" customFormat="false" ht="15" hidden="false" customHeight="false" outlineLevel="0" collapsed="false">
      <c r="A21" s="10" t="s">
        <v>272</v>
      </c>
      <c r="B21" s="10" t="s">
        <v>170</v>
      </c>
      <c r="C21" s="10" t="s">
        <v>558</v>
      </c>
      <c r="D21" s="32" t="s">
        <v>273</v>
      </c>
      <c r="E21" s="10" t="s">
        <v>559</v>
      </c>
      <c r="F21" s="10" t="s">
        <v>552</v>
      </c>
    </row>
    <row r="22" customFormat="false" ht="15" hidden="false" customHeight="false" outlineLevel="0" collapsed="false">
      <c r="A22" s="10" t="s">
        <v>288</v>
      </c>
      <c r="B22" s="10" t="s">
        <v>550</v>
      </c>
      <c r="C22" s="10" t="s">
        <v>560</v>
      </c>
      <c r="D22" s="32" t="s">
        <v>289</v>
      </c>
      <c r="E22" s="10" t="s">
        <v>561</v>
      </c>
      <c r="F22" s="10" t="s">
        <v>552</v>
      </c>
    </row>
    <row r="23" customFormat="false" ht="15" hidden="false" customHeight="false" outlineLevel="0" collapsed="false">
      <c r="A23" s="10" t="s">
        <v>309</v>
      </c>
      <c r="B23" s="10" t="s">
        <v>562</v>
      </c>
      <c r="C23" s="10" t="s">
        <v>563</v>
      </c>
      <c r="D23" s="32" t="s">
        <v>310</v>
      </c>
      <c r="E23" s="10" t="s">
        <v>556</v>
      </c>
      <c r="F23" s="10" t="s">
        <v>564</v>
      </c>
    </row>
    <row r="24" customFormat="false" ht="15" hidden="false" customHeight="false" outlineLevel="0" collapsed="false">
      <c r="A24" s="10" t="s">
        <v>565</v>
      </c>
      <c r="B24" s="10" t="s">
        <v>566</v>
      </c>
      <c r="C24" s="10" t="s">
        <v>567</v>
      </c>
      <c r="D24" s="32" t="s">
        <v>568</v>
      </c>
      <c r="E24" s="10" t="s">
        <v>534</v>
      </c>
      <c r="F24" s="10" t="s">
        <v>564</v>
      </c>
    </row>
    <row r="25" customFormat="false" ht="15" hidden="false" customHeight="false" outlineLevel="0" collapsed="false">
      <c r="A25" s="10" t="s">
        <v>569</v>
      </c>
      <c r="B25" s="10" t="s">
        <v>566</v>
      </c>
      <c r="C25" s="10" t="s">
        <v>570</v>
      </c>
      <c r="D25" s="32" t="s">
        <v>571</v>
      </c>
      <c r="E25" s="10" t="s">
        <v>556</v>
      </c>
      <c r="F25" s="10" t="s">
        <v>564</v>
      </c>
    </row>
    <row r="26" customFormat="false" ht="15" hidden="false" customHeight="false" outlineLevel="0" collapsed="false">
      <c r="A26" s="10" t="s">
        <v>314</v>
      </c>
      <c r="B26" s="10" t="s">
        <v>566</v>
      </c>
      <c r="C26" s="10" t="s">
        <v>572</v>
      </c>
      <c r="D26" s="32" t="s">
        <v>315</v>
      </c>
      <c r="E26" s="10" t="s">
        <v>542</v>
      </c>
      <c r="F26" s="10" t="s">
        <v>564</v>
      </c>
    </row>
    <row r="27" customFormat="false" ht="15" hidden="false" customHeight="false" outlineLevel="0" collapsed="false">
      <c r="A27" s="10" t="s">
        <v>336</v>
      </c>
      <c r="B27" s="10" t="s">
        <v>181</v>
      </c>
      <c r="C27" s="10" t="s">
        <v>573</v>
      </c>
      <c r="D27" s="32" t="s">
        <v>337</v>
      </c>
      <c r="E27" s="10" t="s">
        <v>534</v>
      </c>
      <c r="F27" s="10" t="s">
        <v>574</v>
      </c>
    </row>
    <row r="28" customFormat="false" ht="15" hidden="false" customHeight="false" outlineLevel="0" collapsed="false">
      <c r="A28" s="10" t="s">
        <v>326</v>
      </c>
      <c r="B28" s="10" t="s">
        <v>181</v>
      </c>
      <c r="C28" s="10" t="s">
        <v>575</v>
      </c>
      <c r="D28" s="32" t="s">
        <v>327</v>
      </c>
      <c r="E28" s="10" t="s">
        <v>556</v>
      </c>
      <c r="F28" s="10" t="s">
        <v>574</v>
      </c>
    </row>
    <row r="29" customFormat="false" ht="15" hidden="false" customHeight="false" outlineLevel="0" collapsed="false">
      <c r="A29" s="10" t="s">
        <v>339</v>
      </c>
      <c r="B29" s="10" t="s">
        <v>181</v>
      </c>
      <c r="C29" s="10" t="s">
        <v>576</v>
      </c>
      <c r="D29" s="32" t="s">
        <v>340</v>
      </c>
      <c r="E29" s="10" t="s">
        <v>534</v>
      </c>
      <c r="F29" s="10" t="s">
        <v>574</v>
      </c>
    </row>
    <row r="30" customFormat="false" ht="15" hidden="false" customHeight="false" outlineLevel="0" collapsed="false">
      <c r="A30" s="10" t="s">
        <v>344</v>
      </c>
      <c r="B30" s="10" t="s">
        <v>181</v>
      </c>
      <c r="C30" s="10" t="s">
        <v>577</v>
      </c>
      <c r="D30" s="32" t="s">
        <v>345</v>
      </c>
      <c r="E30" s="10" t="s">
        <v>556</v>
      </c>
      <c r="F30" s="10" t="s">
        <v>578</v>
      </c>
    </row>
    <row r="31" customFormat="false" ht="15" hidden="false" customHeight="false" outlineLevel="0" collapsed="false">
      <c r="A31" s="10" t="s">
        <v>348</v>
      </c>
      <c r="B31" s="10" t="s">
        <v>181</v>
      </c>
      <c r="C31" s="10" t="s">
        <v>579</v>
      </c>
      <c r="D31" s="32" t="s">
        <v>349</v>
      </c>
      <c r="E31" s="10" t="s">
        <v>556</v>
      </c>
      <c r="F31" s="10" t="s">
        <v>578</v>
      </c>
    </row>
    <row r="32" customFormat="false" ht="15" hidden="false" customHeight="false" outlineLevel="0" collapsed="false">
      <c r="A32" s="10" t="s">
        <v>580</v>
      </c>
      <c r="B32" s="10" t="s">
        <v>181</v>
      </c>
      <c r="C32" s="10" t="s">
        <v>581</v>
      </c>
      <c r="D32" s="32" t="s">
        <v>582</v>
      </c>
      <c r="E32" s="10" t="s">
        <v>534</v>
      </c>
      <c r="F32" s="10" t="s">
        <v>578</v>
      </c>
    </row>
    <row r="33" customFormat="false" ht="15" hidden="false" customHeight="false" outlineLevel="0" collapsed="false">
      <c r="A33" s="10" t="s">
        <v>355</v>
      </c>
      <c r="B33" s="10" t="s">
        <v>583</v>
      </c>
      <c r="C33" s="10" t="s">
        <v>584</v>
      </c>
      <c r="D33" s="32" t="s">
        <v>356</v>
      </c>
      <c r="E33" s="10" t="s">
        <v>585</v>
      </c>
      <c r="F33" s="10" t="s">
        <v>586</v>
      </c>
    </row>
    <row r="34" customFormat="false" ht="15" hidden="false" customHeight="false" outlineLevel="0" collapsed="false">
      <c r="A34" s="10" t="s">
        <v>363</v>
      </c>
      <c r="B34" s="10" t="s">
        <v>583</v>
      </c>
      <c r="C34" s="10" t="s">
        <v>587</v>
      </c>
      <c r="D34" s="32" t="s">
        <v>364</v>
      </c>
      <c r="E34" s="10" t="s">
        <v>585</v>
      </c>
      <c r="F34" s="10" t="s">
        <v>586</v>
      </c>
    </row>
    <row r="35" customFormat="false" ht="15" hidden="false" customHeight="false" outlineLevel="0" collapsed="false">
      <c r="A35" s="10" t="s">
        <v>359</v>
      </c>
      <c r="B35" s="10" t="s">
        <v>583</v>
      </c>
      <c r="C35" s="10" t="s">
        <v>588</v>
      </c>
      <c r="D35" s="32" t="s">
        <v>360</v>
      </c>
      <c r="E35" s="10" t="s">
        <v>589</v>
      </c>
      <c r="F35" s="10" t="s">
        <v>586</v>
      </c>
    </row>
    <row r="36" customFormat="false" ht="23.85" hidden="false" customHeight="false" outlineLevel="0" collapsed="false">
      <c r="A36" s="10" t="s">
        <v>375</v>
      </c>
      <c r="B36" s="10" t="s">
        <v>590</v>
      </c>
      <c r="C36" s="10" t="s">
        <v>591</v>
      </c>
      <c r="D36" s="32" t="s">
        <v>376</v>
      </c>
      <c r="E36" s="10" t="s">
        <v>559</v>
      </c>
      <c r="F36" s="10" t="s">
        <v>586</v>
      </c>
    </row>
    <row r="37" customFormat="false" ht="15" hidden="false" customHeight="false" outlineLevel="0" collapsed="false">
      <c r="A37" s="10" t="s">
        <v>379</v>
      </c>
      <c r="B37" s="10" t="s">
        <v>592</v>
      </c>
      <c r="C37" s="10" t="s">
        <v>593</v>
      </c>
      <c r="D37" s="32" t="s">
        <v>380</v>
      </c>
      <c r="E37" s="10" t="s">
        <v>594</v>
      </c>
      <c r="F37" s="10" t="s">
        <v>595</v>
      </c>
    </row>
    <row r="38" customFormat="false" ht="15" hidden="false" customHeight="false" outlineLevel="0" collapsed="false">
      <c r="A38" s="10" t="s">
        <v>596</v>
      </c>
      <c r="B38" s="10" t="s">
        <v>592</v>
      </c>
      <c r="C38" s="10" t="s">
        <v>597</v>
      </c>
      <c r="D38" s="32" t="s">
        <v>598</v>
      </c>
      <c r="E38" s="10" t="s">
        <v>594</v>
      </c>
      <c r="F38" s="10" t="s">
        <v>595</v>
      </c>
    </row>
    <row r="39" customFormat="false" ht="15" hidden="false" customHeight="false" outlineLevel="0" collapsed="false">
      <c r="A39" s="10" t="s">
        <v>599</v>
      </c>
      <c r="B39" s="10" t="s">
        <v>592</v>
      </c>
      <c r="C39" s="10" t="s">
        <v>600</v>
      </c>
      <c r="D39" s="32" t="s">
        <v>601</v>
      </c>
      <c r="E39" s="10" t="s">
        <v>556</v>
      </c>
      <c r="F39" s="10" t="s">
        <v>595</v>
      </c>
    </row>
    <row r="40" customFormat="false" ht="15" hidden="false" customHeight="false" outlineLevel="0" collapsed="false">
      <c r="A40" s="10" t="s">
        <v>602</v>
      </c>
      <c r="B40" s="10" t="s">
        <v>592</v>
      </c>
      <c r="C40" s="10" t="s">
        <v>603</v>
      </c>
      <c r="D40" s="32" t="s">
        <v>604</v>
      </c>
      <c r="E40" s="10" t="s">
        <v>556</v>
      </c>
      <c r="F40" s="10" t="s">
        <v>595</v>
      </c>
    </row>
    <row r="41" customFormat="false" ht="15" hidden="false" customHeight="false" outlineLevel="0" collapsed="false">
      <c r="A41" s="10" t="s">
        <v>408</v>
      </c>
      <c r="B41" s="10" t="s">
        <v>592</v>
      </c>
      <c r="C41" s="10" t="s">
        <v>605</v>
      </c>
      <c r="D41" s="32" t="s">
        <v>409</v>
      </c>
      <c r="E41" s="10" t="s">
        <v>606</v>
      </c>
      <c r="F41" s="10" t="s">
        <v>595</v>
      </c>
    </row>
    <row r="42" customFormat="false" ht="15" hidden="false" customHeight="false" outlineLevel="0" collapsed="false">
      <c r="A42" s="10" t="s">
        <v>607</v>
      </c>
      <c r="B42" s="10" t="s">
        <v>202</v>
      </c>
      <c r="C42" s="10" t="s">
        <v>608</v>
      </c>
      <c r="D42" s="32" t="s">
        <v>609</v>
      </c>
      <c r="E42" s="10" t="s">
        <v>534</v>
      </c>
      <c r="F42" s="10" t="s">
        <v>610</v>
      </c>
    </row>
    <row r="43" customFormat="false" ht="15" hidden="false" customHeight="false" outlineLevel="0" collapsed="false">
      <c r="A43" s="10" t="s">
        <v>611</v>
      </c>
      <c r="B43" s="10" t="s">
        <v>202</v>
      </c>
      <c r="C43" s="10" t="s">
        <v>612</v>
      </c>
      <c r="D43" s="32" t="s">
        <v>613</v>
      </c>
      <c r="E43" s="10" t="s">
        <v>614</v>
      </c>
      <c r="F43" s="10" t="s">
        <v>610</v>
      </c>
    </row>
    <row r="44" customFormat="false" ht="15" hidden="false" customHeight="false" outlineLevel="0" collapsed="false">
      <c r="A44" s="10" t="s">
        <v>411</v>
      </c>
      <c r="B44" s="10" t="s">
        <v>202</v>
      </c>
      <c r="C44" s="10" t="s">
        <v>615</v>
      </c>
      <c r="D44" s="32" t="s">
        <v>412</v>
      </c>
      <c r="E44" s="10" t="s">
        <v>559</v>
      </c>
      <c r="F44" s="10" t="s">
        <v>610</v>
      </c>
    </row>
    <row r="45" customFormat="false" ht="15" hidden="false" customHeight="false" outlineLevel="0" collapsed="false">
      <c r="A45" s="10" t="s">
        <v>441</v>
      </c>
      <c r="B45" s="10" t="s">
        <v>202</v>
      </c>
      <c r="C45" s="10" t="s">
        <v>616</v>
      </c>
      <c r="D45" s="32" t="s">
        <v>442</v>
      </c>
      <c r="E45" s="10" t="s">
        <v>559</v>
      </c>
      <c r="F45" s="10" t="s">
        <v>610</v>
      </c>
    </row>
    <row r="46" customFormat="false" ht="23.85" hidden="false" customHeight="false" outlineLevel="0" collapsed="false">
      <c r="A46" s="10" t="s">
        <v>425</v>
      </c>
      <c r="B46" s="10" t="s">
        <v>202</v>
      </c>
      <c r="C46" s="10" t="s">
        <v>617</v>
      </c>
      <c r="D46" s="32" t="s">
        <v>426</v>
      </c>
      <c r="E46" s="10" t="s">
        <v>559</v>
      </c>
      <c r="F46" s="10" t="s">
        <v>610</v>
      </c>
    </row>
    <row r="47" customFormat="false" ht="15" hidden="false" customHeight="false" outlineLevel="0" collapsed="false">
      <c r="A47" s="10" t="s">
        <v>434</v>
      </c>
      <c r="B47" s="10" t="s">
        <v>202</v>
      </c>
      <c r="C47" s="10" t="s">
        <v>618</v>
      </c>
      <c r="D47" s="32" t="s">
        <v>435</v>
      </c>
      <c r="E47" s="10" t="s">
        <v>559</v>
      </c>
      <c r="F47" s="10" t="s">
        <v>610</v>
      </c>
    </row>
    <row r="48" customFormat="false" ht="15" hidden="false" customHeight="false" outlineLevel="0" collapsed="false">
      <c r="A48" s="10" t="s">
        <v>438</v>
      </c>
      <c r="B48" s="10" t="s">
        <v>619</v>
      </c>
      <c r="C48" s="10" t="s">
        <v>620</v>
      </c>
      <c r="D48" s="32" t="s">
        <v>439</v>
      </c>
      <c r="E48" s="10" t="s">
        <v>606</v>
      </c>
      <c r="F48" s="10" t="s">
        <v>610</v>
      </c>
    </row>
    <row r="49" customFormat="false" ht="23.85" hidden="false" customHeight="false" outlineLevel="0" collapsed="false">
      <c r="A49" s="10" t="s">
        <v>458</v>
      </c>
      <c r="B49" s="10" t="s">
        <v>621</v>
      </c>
      <c r="C49" s="10" t="s">
        <v>622</v>
      </c>
      <c r="D49" s="32" t="s">
        <v>459</v>
      </c>
      <c r="E49" s="10" t="s">
        <v>556</v>
      </c>
      <c r="F49" s="10" t="s">
        <v>623</v>
      </c>
    </row>
    <row r="50" customFormat="false" ht="15" hidden="false" customHeight="false" outlineLevel="0" collapsed="false">
      <c r="A50" s="10" t="s">
        <v>444</v>
      </c>
      <c r="B50" s="10" t="s">
        <v>621</v>
      </c>
      <c r="C50" s="10" t="s">
        <v>624</v>
      </c>
      <c r="D50" s="32" t="s">
        <v>445</v>
      </c>
      <c r="E50" s="10" t="s">
        <v>625</v>
      </c>
      <c r="F50" s="10" t="s">
        <v>623</v>
      </c>
    </row>
    <row r="51" customFormat="false" ht="15" hidden="false" customHeight="false" outlineLevel="0" collapsed="false">
      <c r="A51" s="10" t="s">
        <v>626</v>
      </c>
      <c r="B51" s="10" t="s">
        <v>621</v>
      </c>
      <c r="C51" s="10" t="s">
        <v>627</v>
      </c>
      <c r="D51" s="32" t="s">
        <v>628</v>
      </c>
      <c r="E51" s="10" t="s">
        <v>625</v>
      </c>
      <c r="F51" s="10" t="s">
        <v>623</v>
      </c>
    </row>
    <row r="52" customFormat="false" ht="15" hidden="false" customHeight="false" outlineLevel="0" collapsed="false">
      <c r="A52" s="10" t="s">
        <v>449</v>
      </c>
      <c r="B52" s="10" t="s">
        <v>621</v>
      </c>
      <c r="C52" s="10" t="s">
        <v>629</v>
      </c>
      <c r="D52" s="32" t="s">
        <v>450</v>
      </c>
      <c r="E52" s="10" t="s">
        <v>630</v>
      </c>
      <c r="F52" s="10" t="s">
        <v>623</v>
      </c>
    </row>
    <row r="53" customFormat="false" ht="15" hidden="false" customHeight="false" outlineLevel="0" collapsed="false">
      <c r="A53" s="10" t="s">
        <v>631</v>
      </c>
      <c r="B53" s="10" t="s">
        <v>621</v>
      </c>
      <c r="C53" s="10" t="s">
        <v>632</v>
      </c>
      <c r="D53" s="32" t="s">
        <v>633</v>
      </c>
      <c r="E53" s="10" t="s">
        <v>534</v>
      </c>
      <c r="F53" s="10" t="s">
        <v>623</v>
      </c>
    </row>
  </sheetData>
  <autoFilter ref="A1:F53"/>
  <hyperlinks>
    <hyperlink ref="D2" r:id="rId1" display="https://www.autocarindia.com/car-news/new-cars-and-bikes-to-get-more-safety-tech-this-year-411018"/>
    <hyperlink ref="D3" r:id="rId2" display="https://www.nhtsa.gov/document/electronic-stability-control-systems-fmvss-no-126"/>
    <hyperlink ref="D4" r:id="rId3" display="https://www.nhtsa.gov/sites/nhtsa.gov/files/fmvss/tirepressure-fmvss-138.pdf"/>
    <hyperlink ref="D5" r:id="rId4" display="https://www.nhtsa.gov/press-releases/nhtsa-fmvss-127-automatic-emergency-braking-reduce-crashes"/>
    <hyperlink ref="D6" r:id="rId5" display="https://eur-lex.europa.eu/eli/reg/2019/2144/2024-07-07/eng"/>
    <hyperlink ref="D7" r:id="rId6" display="https://single-market-economy.ec.europa.eu/news/mandatory-drivers-assistance-systems-expected-help-save-over-25000-lives-2038-2024-07-05_en"/>
    <hyperlink ref="D8" r:id="rId7" display="https://europa.eu/youreurope/citizens/travel/security-and-emergencies/emergency-assistance-vehicles-ecall/index_en.htm"/>
    <hyperlink ref="D9" r:id="rId8" display="https://www.pib.gov.in/PressReleaseIframePage.aspx?PRID=1951030&amp;reg=3&amp;lang=2"/>
    <hyperlink ref="D10" r:id="rId9" display="https://www.bncap.in/"/>
    <hyperlink ref="D11" r:id="rId10" display="https://www.hyundai.com/in/en/find-a-car/creta/safety"/>
    <hyperlink ref="D12" r:id="rId11" display="https://www.hyundai.com/in/en/find-a-car/creta/features"/>
    <hyperlink ref="D13" r:id="rId12" display="https://www.hyundai.com/content/dam/hyundai/in/en/data/brochure/creta-brochureknight.pdf"/>
    <hyperlink ref="D14" r:id="rId13" display="https://www.hyundai.com/content/dam/hyundai/in/en/data/brochure/creta.pdf"/>
    <hyperlink ref="D15" r:id="rId14" display="https://www.hyundai.com/in/en/blog/hyundai-creta-car-variants-explained"/>
    <hyperlink ref="D16" r:id="rId15" display="https://www.hyundai.com/in/en/blog/hyundai-creta-advance-features-specs-guide"/>
    <hyperlink ref="D17" r:id="rId16" display="https://www.hyundai.com/in/en/find-a-car/creta/price"/>
    <hyperlink ref="D18" r:id="rId17" display="https://www.mahindraelectricsuv.com/on/demandware.static/-/Library-Sites-eSUVSharedLibrary/default/MXV9/XEV9e_BROCHURE_R1_20260428.pdf"/>
    <hyperlink ref="D19" r:id="rId18" display="https://auto.mahindra.com/press-release/xev-nine-e-and-be-six-create-history.html"/>
    <hyperlink ref="D20" r:id="rId19" display="https://auto.mahindra.com/press-release/mahindra-democratises-premium-ev-technology-announces-top-variant-prices-of-be-6-and-xev-9e.html"/>
    <hyperlink ref="D21" r:id="rId20" display="https://booking.mahindra.com/on/demandware.static/-/Library-Sites-eSUVSharedLibrary/default/dw5ad7dd6c/OwnerManual/XEV_9e_HTML/XEV9e-OM.html"/>
    <hyperlink ref="D22" r:id="rId21" display="https://www.mahindraelectricsuv.com/faq.html"/>
    <hyperlink ref="D23" r:id="rId22" display="https://www.skoda-storyboard.com/en/press-releases/the-all-new-skoda-kylaq-a-new-era-for-skoda-in-indias-popular-sub-4-metre-suv-segment/"/>
    <hyperlink ref="D24" r:id="rId23" display="https://www.skoda-auto.co.in/shopping/kylaq-safety"/>
    <hyperlink ref="D25" r:id="rId24" display="https://www.skoda-auto.co.in/news/news-detail/skoda-kylaq-marks-one-year-landmark-by-celebrating-50k-sales-milestone"/>
    <hyperlink ref="D26" r:id="rId25" display="https://www.skoda-auto.co.in/_doc/54fc9665-9adc-4e0e-97ae-0a6b798d59c2"/>
    <hyperlink ref="D27" r:id="rId26" display="https://www.marutisuzuki.com/arena/swift"/>
    <hyperlink ref="D28" r:id="rId27" display="https://www.marutisuzuki.com/corporate/media/press-releases/2024/may/ms-launches-epic-new-swift-with-all-new-z-series-engine"/>
    <hyperlink ref="D29" r:id="rId28" display="https://marutisuzuki.com/cng/swift"/>
    <hyperlink ref="D30" r:id="rId29" display="https://www.marutisuzuki.com/corporate/media/press-releases/2025/may/maruti-suzuki-arena-enhances-safety-by-offering-6-airbags-as-standard"/>
    <hyperlink ref="D31" r:id="rId30" display="https://www.marutisuzuki.com/corporate/media/press-releases/2024/august/maruti-suzuki-offers-electronic-stability-program"/>
    <hyperlink ref="D32" r:id="rId31" display="https://www.marutisuzuki.com/arena/alto-k10"/>
    <hyperlink ref="D33" r:id="rId32" display="https://www.volvocars.com/uk/cars/xc90-hybrid/specifications/"/>
    <hyperlink ref="D34" r:id="rId33" display="https://www.volvocars.com/uk/cars/new-models/xc90/specifications"/>
    <hyperlink ref="D35" r:id="rId34" display="https://www.volvocars.com/uk/news/safety/new-and-improved-the-best-ever-volvo-xc90/"/>
    <hyperlink ref="D36" r:id="rId35" display="https://www.volvocars.com/ie/support/car/xc90/article/"/>
    <hyperlink ref="D37" r:id="rId36" display="https://www.hyundainews.com/assets/documents/original/68164-2026IONIQ5NSpecsFeatures20250722A.pdf"/>
    <hyperlink ref="D38" r:id="rId37" display="https://www.hyundainews.com/assets/documents/original/59548-IONIQ5NSpecs040424.pdf"/>
    <hyperlink ref="D39" r:id="rId38" display="https://www.hyundainews.com/releases/4513"/>
    <hyperlink ref="D40" r:id="rId39" display="https://www.hyundainews.com/releases/3761?lang=en_US"/>
    <hyperlink ref="D41" r:id="rId40" display="https://owners.hyundaiusa.com/content/dam/hyundai/us/myhyundai/manuals/erg/2022/ioniq-5/Ioniq5-erg.pdf"/>
    <hyperlink ref="D42" r:id="rId41" display="https://www.tesla.com/modely"/>
    <hyperlink ref="D43" r:id="rId42" display="https://www.tesla.com/support/vehicle-safety-security-features"/>
    <hyperlink ref="D44" r:id="rId43" display="https://www.tesla.com/ownersmanual/modely/en_us/Owners_Manual.pdf"/>
    <hyperlink ref="D45" r:id="rId44" display="https://www.tesla.com/ownersmanual/modely/en_us/GUID-2E8E5E0B-DAA8-40B8-9804-45F5960538DF.html"/>
    <hyperlink ref="D46" r:id="rId45" display="https://www.tesla.com/ownersmanual/modely/en_us/GUID-101D1BF5-52D2-469A-A57D-E7230BBEE94B.html"/>
    <hyperlink ref="D47" r:id="rId46" display="https://www.tesla.com/ownersmanual/modely/en_us/GUID-3319C55D-F148-4D9C-98A6-AD09BA7EED61.html"/>
    <hyperlink ref="D48" r:id="rId47" display="https://digitalassets.tesla.com/tesla-contents/image/upload/2025-Model-Y-Emergency-Response-Guide.pdf"/>
    <hyperlink ref="D49" r:id="rId48" display="https://www.press.dacia.co.uk/releases/440"/>
    <hyperlink ref="D50" r:id="rId49" display="https://www.press.dacia.co.uk/assets/documents/original/4592-DaciaSanderoandSanderoStepwayPressKitMay2023.pdf"/>
    <hyperlink ref="D51" r:id="rId50" display="https://www.press.dacia.co.uk/assets/documents/original/3930-DaciaSanderoandSanderoStepwayPressKitApril2022.pdf"/>
    <hyperlink ref="D52" r:id="rId51" display="https://www.dacia.co.uk/vehicles/sandero/configurator.html"/>
    <hyperlink ref="D53" r:id="rId52" display="https://www.dacia.co.uk/vehicles/sandero.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2026-10-13T13:14:34Z</dcterms:created>
  <dc:creator>openpyxl</dc:creator>
  <dc:description/>
  <dc:language>en-US</dc:language>
  <cp:lastModifiedBy/>
  <dcterms:modified xsi:type="dcterms:W3CDTF">2026-10-13T13:14:34Z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