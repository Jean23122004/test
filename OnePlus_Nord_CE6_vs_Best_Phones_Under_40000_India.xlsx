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6.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Baseline Nord CE6" sheetId="2" state="visible" r:id="rId4"/>
    <sheet name="Retail Prices" sheetId="3" state="visible" r:id="rId5"/>
    <sheet name="Tech Specs" sheetId="4" state="visible" r:id="rId6"/>
    <sheet name="Processor &amp; Benchmarks" sheetId="5" state="visible" r:id="rId7"/>
    <sheet name="Ratings &amp; Reviews" sheetId="6" state="visible" r:id="rId8"/>
    <sheet name="Scorecard" sheetId="7" state="visible" r:id="rId9"/>
    <sheet name="Pros Cons Advice" sheetId="8" state="visible" r:id="rId10"/>
    <sheet name="Sources" sheetId="9" state="visible" r:id="rId11"/>
    <sheet name="Final Ranking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<sst xmlns="http://schemas.openxmlformats.org/spreadsheetml/2006/main" count="1995" uniqueCount="1025">
  <si>
    <t xml:space="preserve">OnePlus Nord CE6 vs Best Phones Under ₹40,000 – Executive Summary</t>
  </si>
  <si>
    <t xml:space="preserve">Research date: 14-Oct-2026. Market: India (Tamil Nadu preference). Budget ≤ ₹40,000 regular price; ≥12GB physical RAM; CPU ≥ Snapdragon 7s Gen 4. Winners below are live formulas from the Scorecard sheet.</t>
  </si>
  <si>
    <t xml:space="preserve">BASELINE STATUS</t>
  </si>
  <si>
    <t xml:space="preserve">VERIFIED. OnePlus Nord CE6 launched in India on 7-May-2026 (sale 8-May). Snapdragon 7s Gen 4, 6.78" 1.5K 144Hz AMOLED, 8,000mAh (India) + 80W, IP66/68/69/69K, OxygenOS 16 / Android 16. IMPORTANT: it is sold only with 8GB RAM (8+128 / 8+256). No 12GB variant was found, so the baseline itself does not meet your 12GB requirement.</t>
  </si>
  <si>
    <t xml:space="preserve">Award</t>
  </si>
  <si>
    <t xml:space="preserve">Winning phone</t>
  </si>
  <si>
    <t xml:space="preserve">Variant</t>
  </si>
  <si>
    <t xml:space="preserve">Regular price (₹)</t>
  </si>
  <si>
    <t xml:space="preserve">Score (category / 100)</t>
  </si>
  <si>
    <t xml:space="preserve">Purchase link</t>
  </si>
  <si>
    <t xml:space="preserve">Best overall</t>
  </si>
  <si>
    <t xml:space="preserve">Best processor &amp; gaming</t>
  </si>
  <si>
    <t xml:space="preserve">Best camera</t>
  </si>
  <si>
    <t xml:space="preserve">Best battery &amp; charging</t>
  </si>
  <si>
    <t xml:space="preserve">Best display</t>
  </si>
  <si>
    <t xml:space="preserve">Best software support</t>
  </si>
  <si>
    <t xml:space="preserve">Best build &amp; durability</t>
  </si>
  <si>
    <t xml:space="preserve">Best value for money</t>
  </si>
  <si>
    <t xml:space="preserve">FINAL RECOMMENDATION</t>
  </si>
  <si>
    <t xml:space="preserve">Buy the realme GT 7T (12GB + 256GB) at about ₹37,999 (Reliance Digital, MRP ₹42,999; Flipkart was seen at ₹36,990). It has the highest total score (see table above) and its price is among the most firmly verified. It is a clear step up from the Nord CE6: Dimensity 8400-Max (Geekbench 6 1660/6497 vs ~1100/3117), 12GB RAM, 120W charging (about 40 min to full), a 6,000-nit 1.5K panel, IP69, an 8MP ultrawide and security patches until May-2031. For the most raw gaming power at the lowest price, get the OPPO K13 Turbo Pro 12/256 (₹33,999, Snapdragon 8s Gen 4 with a cooling fan), if Flipkart has it in stock. If the POCO X8 Pro 12/256 stays at or below ₹40,000 on Flipkart, it is the newest strong alternative (2026, Dimensity 8500, IP69K). For camera, the best eligible options are the OnePlus Nord 5 (if you can find stock) or the Redmi Note 15 Pro+ 200MP. Note that the Motorola Edge 70 Pro is the better camera phone, but it costs about ₹43k.</t>
  </si>
  <si>
    <t xml:space="preserve">TOP 3 (eligible)</t>
  </si>
  <si>
    <t xml:space="preserve">Rank</t>
  </si>
  <si>
    <t xml:space="preserve">Model</t>
  </si>
  <si>
    <t xml:space="preserve">Total /100</t>
  </si>
  <si>
    <t xml:space="preserve">Link</t>
  </si>
  <si>
    <t xml:space="preserve">KEY LIMITATIONS</t>
  </si>
  <si>
    <t xml:space="preserve">1. Direct access to Amazon, Flipkart, Croma, Reliance Digital and Vijay Sales was blocked from the research environment (network policy). Prices come from search-indexed retailer pages and price trackers (91mobiles, Smartprix, MySmartPrice, pricehistory). Exact time-of-day IST checks were not possible.</t>
  </si>
  <si>
    <t xml:space="preserve">2. Indian phone prices rose repeatedly in 2026 (memory-cost hikes). Several 12GB variants show prices that conflict by ₹2–5k between sources. POCO X8 Pro and vivo T5 Pro are marked borderline: re-check that the price is ≤ ₹40,000 before you buy.</t>
  </si>
  <si>
    <t xml:space="preserve">3. No Croma or Vijay Sales listing could be verified for any phone, apart from one Croma price for the GT 7T reported through Smartprix. Ask local stores in Tamil Nadu (Poorvika, Sangeetha, Croma, Reliance Digital) to match online prices.</t>
  </si>
  <si>
    <t xml:space="preserve">4. Benchmark scores come from different reviewers, AnTuTu versions (v10 / v11) and test conditions. Treat them as rough tiers, not exact rankings.</t>
  </si>
  <si>
    <t xml:space="preserve">5. Customer ratings are largely aggregator snapshots, which often combine variants. Review counts are shown wherever they were found.</t>
  </si>
  <si>
    <t xml:space="preserve">LEGEND</t>
  </si>
  <si>
    <t xml:space="preserve">Verified (official / retailer / independent test)</t>
  </si>
  <si>
    <t xml:space="preserve">Estimate, aggregator snapshot or conflicting sources</t>
  </si>
  <si>
    <t xml:space="preserve">Not found / unavailable / not accessible</t>
  </si>
  <si>
    <t xml:space="preserve">Conditional offer (bank / exchange / coupon)</t>
  </si>
  <si>
    <t xml:space="preserve">Category winner / qualifies</t>
  </si>
  <si>
    <t xml:space="preserve">Fails a mandatory rule (price &gt; ₹40,000, RAM &lt; 12GB, CPU below baseline)</t>
  </si>
  <si>
    <t xml:space="preserve">Baseline – OnePlus Nord CE6 (verified)</t>
  </si>
  <si>
    <t xml:space="preserve">Exact model: OnePlus Nord CE6 (Nord CE 6 5G). Do not confuse it with the Nord CE6 Lite (Dimensity 7400 Apex, LCD) or the Nord 6 (Snapdragon 8s Gen 4, 9,000mAh).</t>
  </si>
  <si>
    <t xml:space="preserve">Attribute</t>
  </si>
  <si>
    <t xml:space="preserve">Verified value</t>
  </si>
  <si>
    <t xml:space="preserve">Status</t>
  </si>
  <si>
    <t xml:space="preserve">Source</t>
  </si>
  <si>
    <t xml:space="preserve">Commercial name</t>
  </si>
  <si>
    <t xml:space="preserve">OnePlus Nord CE6 (listed as 'OnePlus Nord CE 6 5G')</t>
  </si>
  <si>
    <t xml:space="preserve">Verified</t>
  </si>
  <si>
    <t xml:space="preserve">https://www.oneplus.com/global/nord-ce6/specs</t>
  </si>
  <si>
    <t xml:space="preserve">Announcement / launch (India)</t>
  </si>
  <si>
    <t xml:space="preserve">7-May-2026; first sale 8-May-2026 12 PM IST (Amazon, OnePlus.in)</t>
  </si>
  <si>
    <t xml:space="preserve">https://tech.sportskeeda.com/mobiles/oneplus-nord-ce6-series-launched-india-specs-features-price</t>
  </si>
  <si>
    <t xml:space="preserve">Launch price</t>
  </si>
  <si>
    <t xml:space="preserve">8GB+128GB ₹29,999; 8GB+256GB ₹32,999 (₹2,000 early-bird bank discount)</t>
  </si>
  <si>
    <t xml:space="preserve">https://www.tech2.com/mobile/oneplus-nord-ce-6-and-nord-ce-6-lite-with-8000mah-battery-launched-in-india-price-specs-text-10080729.html</t>
  </si>
  <si>
    <t xml:space="preserve">Price hikes</t>
  </si>
  <si>
    <t xml:space="preserve">OnePlus raised prices twice. 8GB+256GB is now ₹36,999 on OnePlus.in (₹4,000 above launch)</t>
  </si>
  <si>
    <t xml:space="preserve">Verified (news)</t>
  </si>
  <si>
    <t xml:space="preserve">https://www.mymobileindia.com/oneplus-nord-ce-6-gets-another-price-hike-in-india-now-costs-rs-4000-more-than-launch-price/</t>
  </si>
  <si>
    <t xml:space="preserve">Current price – 8+128</t>
  </si>
  <si>
    <t xml:space="preserve">Amazon ₹34,999 (MRP ₹40,999); Flipkart ₹36,197</t>
  </si>
  <si>
    <t xml:space="preserve">Retailer snapshot</t>
  </si>
  <si>
    <t xml:space="preserve">https://www.amazon.in/OnePlus-Snapdragon-Segments-Fastest-Response/dp/B0GWLHVJRH</t>
  </si>
  <si>
    <t xml:space="preserve">Current price – 8+256</t>
  </si>
  <si>
    <t xml:space="preserve">₹36,999 (Amazon lowest per MySmartPrice; 91mobiles saw ₹38,999)</t>
  </si>
  <si>
    <t xml:space="preserve">Aggregator snapshot</t>
  </si>
  <si>
    <t xml:space="preserve">https://www.mysmartprice.com/mobile/oneplus-nord-ce-6-5g-256gb-msp620884</t>
  </si>
  <si>
    <t xml:space="preserve">Physical RAM variants</t>
  </si>
  <si>
    <t xml:space="preserve">8GB only (LPDDR4X). No 12GB variant found. 12GB listings found were for the separate Nord 6</t>
  </si>
  <si>
    <t xml:space="preserve">Verified (no 12GB listing exists)</t>
  </si>
  <si>
    <t xml:space="preserve">https://www.smartprix.com/mobiles/oneplus-nord-ce-6-5g-8gb-ram-256gb-ppd1d6l6a324</t>
  </si>
  <si>
    <t xml:space="preserve">Storage</t>
  </si>
  <si>
    <t xml:space="preserve">128GB / 256GB</t>
  </si>
  <si>
    <t xml:space="preserve">https://www.digit.in/mobiles/oneplus-nord-ce-6.html</t>
  </si>
  <si>
    <t xml:space="preserve">Chipset</t>
  </si>
  <si>
    <t xml:space="preserve">Qualcomm Snapdragon 7s Gen 4 (4nm). CPU 1×2.7GHz A720 + 3×2.4GHz A720 + 4×1.8GHz A520. GPU Adreno 810</t>
  </si>
  <si>
    <t xml:space="preserve">Verified (chip); core layout per Qualcomm spec</t>
  </si>
  <si>
    <t xml:space="preserve">https://gadgets.beebom.com/mobile/oneplus-nord-ce-6</t>
  </si>
  <si>
    <t xml:space="preserve">Display</t>
  </si>
  <si>
    <t xml:space="preserve">6.78" 1.5K AMOLED, 144Hz; 800 nits typical, 1,800 nits HBM, 3,600 nits peak</t>
  </si>
  <si>
    <t xml:space="preserve">https://www.gsmarena.com/oneplus_nord_ce6_5g-14611.php</t>
  </si>
  <si>
    <t xml:space="preserve">Rear cameras</t>
  </si>
  <si>
    <t xml:space="preserve">50MP OmniVision OV50D40 f/1.8 with OIS + 2MP auxiliary. No ultrawide</t>
  </si>
  <si>
    <t xml:space="preserve">https://www.gsmarena.com/oneplus_nord_ce6-review-2961p5.php</t>
  </si>
  <si>
    <t xml:space="preserve">Front camera</t>
  </si>
  <si>
    <t xml:space="preserve">32MP</t>
  </si>
  <si>
    <t xml:space="preserve">https://www.91mobiles.com/hub/oneplus-nord-ce-6-ce-6-lite-launched-price-specifications-sale/</t>
  </si>
  <si>
    <t xml:space="preserve">Battery</t>
  </si>
  <si>
    <t xml:space="preserve">8,000mAh (India); 7,500mAh global</t>
  </si>
  <si>
    <t xml:space="preserve">https://www.gsmarena.com/compare.php3?idPhone1=14611</t>
  </si>
  <si>
    <t xml:space="preserve">Charging</t>
  </si>
  <si>
    <t xml:space="preserve">80W SUPERVOOC. Beebom measured 4→50% in about 30 min</t>
  </si>
  <si>
    <t xml:space="preserve">Verified / independent</t>
  </si>
  <si>
    <t xml:space="preserve">https://gadgets.beebom.com/reviews/oneplus-nord-ce-6-review</t>
  </si>
  <si>
    <t xml:space="preserve">OS at launch</t>
  </si>
  <si>
    <t xml:space="preserve">OxygenOS 16, Android 16</t>
  </si>
  <si>
    <t xml:space="preserve">https://www.gsmarena.com/oneplus_nord_ce6-review-2961p4.php</t>
  </si>
  <si>
    <t xml:space="preserve">Update policy</t>
  </si>
  <si>
    <t xml:space="preserve">No official OS-upgrade count. OnePlus promises '6 years of system fluency'. Reported: 2 Android upgrades (to Android 18) and 4 years of security patches. That is a cut from the CE5's 4 OS + 6 yrs</t>
  </si>
  <si>
    <t xml:space="preserve">Reported – not officially numbered</t>
  </si>
  <si>
    <t xml:space="preserve">https://9to5google.com/2026/05/08/oneplus-software-updates-nord-ce6/</t>
  </si>
  <si>
    <t xml:space="preserve">Durability</t>
  </si>
  <si>
    <t xml:space="preserve">IP66 / IP68 / IP69 / IP69K</t>
  </si>
  <si>
    <t xml:space="preserve">Dimensions / weight</t>
  </si>
  <si>
    <t xml:space="preserve">162.5 × 77.5 × 8.5 mm; 208 g (OnePlus) / 215 g (GSMArena, variant-dependent)</t>
  </si>
  <si>
    <t xml:space="preserve">Verified (minor conflict)</t>
  </si>
  <si>
    <t xml:space="preserve">Audio</t>
  </si>
  <si>
    <t xml:space="preserve">Stereo speakers</t>
  </si>
  <si>
    <t xml:space="preserve">Connectivity</t>
  </si>
  <si>
    <t xml:space="preserve">5G (Indian bands), dual SIM, Wi-Fi, Bluetooth, NFC, USB-C. Exact Wi-Fi/BT versions not re-verified</t>
  </si>
  <si>
    <t xml:space="preserve">Partially verified</t>
  </si>
  <si>
    <t xml:space="preserve">Benchmarks</t>
  </si>
  <si>
    <t xml:space="preserve">AnTuTu v11 ~1,136,269 (avg). Geekbench 6 ~1,101 / 3,117 (pre-launch listing)</t>
  </si>
  <si>
    <t xml:space="preserve">Independent avg / leak</t>
  </si>
  <si>
    <t xml:space="preserve">https://www.mobiledokan.com/review/oneplus-nord-ce6-full-review</t>
  </si>
  <si>
    <t xml:space="preserve">Customer rating</t>
  </si>
  <si>
    <t xml:space="preserve">4.3/5. 2,136 Amazon reviews (8/128, via aggregator); 1,312 ratings for 256GB (MySmartPrice)</t>
  </si>
  <si>
    <t xml:space="preserve">Warranty</t>
  </si>
  <si>
    <t xml:space="preserve">1-year OnePlus India manufacturer warranty on Indian retail units; OnePlus service centres in major TN cities</t>
  </si>
  <si>
    <t xml:space="preserve">Standard policy (not re-fetched)</t>
  </si>
  <si>
    <t xml:space="preserve">https://www.oneplus.in/support</t>
  </si>
  <si>
    <t xml:space="preserve">Review verdict</t>
  </si>
  <si>
    <t xml:space="preserve">Smartprix: battery, durability and display are strong; camera decisions are confusing. Beebom: trails the vivo T5 Pro in benchmarks</t>
  </si>
  <si>
    <t xml:space="preserve">Independent review</t>
  </si>
  <si>
    <t xml:space="preserve">https://www.smartprix.com/bytes/oneplus-nord-ce6-review-with-pros-and-cons/</t>
  </si>
  <si>
    <t xml:space="preserve">Retail Price Comparison – Amazon · Flipkart · Croma · Reliance Digital · Vijay Sales</t>
  </si>
  <si>
    <t xml:space="preserve">Checked 14-Oct-2026 (IST); via web-search index snapshots. Live retailer pages could not be opened directly (blocked by the research environment's network policy). Values are retailer-page snapshots or price-tracker figures, as labelled. Regular price excludes bank and exchange offers. 'Not verified' means no listing could be confirmed.</t>
  </si>
  <si>
    <t xml:space="preserve">Retailer</t>
  </si>
  <si>
    <t xml:space="preserve">MRP (₹)</t>
  </si>
  <si>
    <t xml:space="preserve">Listed price (₹)</t>
  </si>
  <si>
    <t xml:space="preserve">Bank offer</t>
  </si>
  <si>
    <t xml:space="preserve">Exchange offer</t>
  </si>
  <si>
    <t xml:space="preserve">Coupon</t>
  </si>
  <si>
    <t xml:space="preserve">Effective price after offer (₹)</t>
  </si>
  <si>
    <t xml:space="preserve">Seller</t>
  </si>
  <si>
    <t xml:space="preserve">Availability</t>
  </si>
  <si>
    <t xml:space="preserve">Data status</t>
  </si>
  <si>
    <t xml:space="preserve">Date/time checked</t>
  </si>
  <si>
    <t xml:space="preserve">Notes</t>
  </si>
  <si>
    <t xml:space="preserve">OnePlus Nord CE6</t>
  </si>
  <si>
    <t xml:space="preserve">8GB+128GB</t>
  </si>
  <si>
    <t xml:space="preserve">Amazon India</t>
  </si>
  <si>
    <t xml:space="preserve">Not captured</t>
  </si>
  <si>
    <t xml:space="preserve">Available (conditional)</t>
  </si>
  <si>
    <t xml:space="preserve">None found</t>
  </si>
  <si>
    <t xml:space="preserve">Not found</t>
  </si>
  <si>
    <t xml:space="preserve">Amazon / OnePlus authorised</t>
  </si>
  <si>
    <t xml:space="preserve">In stock (snapshot)</t>
  </si>
  <si>
    <t xml:space="preserve">14-Oct-2026 (IST); via web-search index snapshots</t>
  </si>
  <si>
    <t xml:space="preserve">Listing snapshot shows ₹34,999 vs list ₹40,999</t>
  </si>
  <si>
    <t xml:space="preserve">8GB+256GB</t>
  </si>
  <si>
    <t xml:space="preserve">Amazon</t>
  </si>
  <si>
    <t xml:space="preserve">In stock (aggregator)</t>
  </si>
  <si>
    <t xml:space="preserve">Aggregator (MySmartPrice)</t>
  </si>
  <si>
    <t xml:space="preserve">91mobiles saw ₹38,999 on Amazon</t>
  </si>
  <si>
    <t xml:space="preserve">Flipkart</t>
  </si>
  <si>
    <t xml:space="preserve">Flipkart seller</t>
  </si>
  <si>
    <t xml:space="preserve">https://www.flipkart.com/oneplus-nord-ce6-pitch-black-128-gb/p/itmd7b224b18cb05</t>
  </si>
  <si>
    <t xml:space="preserve">'Buy at ₹33,912' shown with offers (conditional)</t>
  </si>
  <si>
    <t xml:space="preserve">Croma</t>
  </si>
  <si>
    <t xml:space="preserve">Not verified</t>
  </si>
  <si>
    <t xml:space="preserve">https://www.croma.com/</t>
  </si>
  <si>
    <t xml:space="preserve">No indexed listing found</t>
  </si>
  <si>
    <t xml:space="preserve">Reliance Digital</t>
  </si>
  <si>
    <t xml:space="preserve">https://www.reliancedigital.in/</t>
  </si>
  <si>
    <t xml:space="preserve">Vijay Sales</t>
  </si>
  <si>
    <t xml:space="preserve">https://www.vijaysales.com/</t>
  </si>
  <si>
    <t xml:space="preserve">OPPO K13 Turbo Pro</t>
  </si>
  <si>
    <t xml:space="preserve">12GB+256GB</t>
  </si>
  <si>
    <t xml:space="preserve">₹1,700 bank offer</t>
  </si>
  <si>
    <t xml:space="preserve">Flipkart (exclusive)</t>
  </si>
  <si>
    <t xml:space="preserve">Intermittently OUT OF STOCK</t>
  </si>
  <si>
    <t xml:space="preserve">Retailer snapshot + tracker (6-Oct-2026)</t>
  </si>
  <si>
    <t xml:space="preserve">https://www.flipkart.com/oppo-k13-turbo-pro-5g-silver-knight-256-gb/p/itmeefeb718f01fe</t>
  </si>
  <si>
    <t xml:space="preserve">Tracker low ₹31,499 (28-Aug-2026, sale)</t>
  </si>
  <si>
    <t xml:space="preserve">Amazon / Croma / Reliance / Vijay Sales</t>
  </si>
  <si>
    <t xml:space="preserve">—</t>
  </si>
  <si>
    <t xml:space="preserve">Flipkart-exclusive model</t>
  </si>
  <si>
    <t xml:space="preserve">Not available</t>
  </si>
  <si>
    <t xml:space="preserve">https://www.flipkart.com/search?q=oppo+k13+turbo+pro</t>
  </si>
  <si>
    <t xml:space="preserve">Sold online only through Flipkart</t>
  </si>
  <si>
    <t xml:space="preserve">iQOO Neo 10R</t>
  </si>
  <si>
    <t xml:space="preserve">Listed</t>
  </si>
  <si>
    <t xml:space="preserve">Aggregator (91mobiles / Digit)</t>
  </si>
  <si>
    <t xml:space="preserve">https://www.91mobiles.com/iqoo-neo-10r-price-in-india</t>
  </si>
  <si>
    <t xml:space="preserve">Lowest verified regular price in this study</t>
  </si>
  <si>
    <t xml:space="preserve">Amazon (iQOO official)</t>
  </si>
  <si>
    <t xml:space="preserve">Price tracker (10-Oct-2026)</t>
  </si>
  <si>
    <t xml:space="preserve">https://pricehistory.app/p/iqoo-neo-10r-5g-raging-blue-12gb-xlkyfzSj</t>
  </si>
  <si>
    <t xml:space="preserve">Tracker low ₹26,998</t>
  </si>
  <si>
    <t xml:space="preserve">Croma / Reliance / Vijay Sales</t>
  </si>
  <si>
    <t xml:space="preserve">realme GT 7T</t>
  </si>
  <si>
    <t xml:space="preserve">Listed (online + stores)</t>
  </si>
  <si>
    <t xml:space="preserve">https://www.reliancedigital.in/product/realme-gt-7t-5g-256-gb-12-gb-ram-blue-mobile-phone-mbgan1-9247285</t>
  </si>
  <si>
    <t xml:space="preserve">Black variant also ₹37,999. Good for Tamil Nadu store pickup</t>
  </si>
  <si>
    <t xml:space="preserve">CONFLICTING (91mobiles ₹36,990 vs Smartprix ₹42,999)</t>
  </si>
  <si>
    <t xml:space="preserve">https://www.91mobiles.com/realme-gt-7t-price-in-india</t>
  </si>
  <si>
    <t xml:space="preserve">Use the lower figure only if the live page confirms it</t>
  </si>
  <si>
    <t xml:space="preserve">In stock</t>
  </si>
  <si>
    <t xml:space="preserve">Aggregator (Smartprix 6-Oct-2026); product page snapshot ₹41,475</t>
  </si>
  <si>
    <t xml:space="preserve">https://www.amazon.in/realme-IceSense-MediaTek-Strongest-Graphene/dp/B0F6YWDMXF</t>
  </si>
  <si>
    <t xml:space="preserve">Aggregator (Smartprix)</t>
  </si>
  <si>
    <t xml:space="preserve">https://www.smartprix.com/mobiles/realme-gt-7t-12gb-ram-256gb-ppd1gzorx7ts</t>
  </si>
  <si>
    <t xml:space="preserve">Above budget at Croma</t>
  </si>
  <si>
    <t xml:space="preserve">OnePlus Nord 5</t>
  </si>
  <si>
    <t xml:space="preserve">Retailer not identified</t>
  </si>
  <si>
    <t xml:space="preserve">Stock doubtful</t>
  </si>
  <si>
    <t xml:space="preserve">Aggregator (Bajaj Finserv Oct-2026)</t>
  </si>
  <si>
    <t xml:space="preserve">https://www.bajajfinserv.in/oneplus-nord-5-price-in-india</t>
  </si>
  <si>
    <t xml:space="preserve">Smartprix: ₹32,128 OUT OF STOCK (last change 18-Jun-2026)</t>
  </si>
  <si>
    <t xml:space="preserve">Not listed in Amazon search</t>
  </si>
  <si>
    <t xml:space="preserve">https://www.amazon.in/oneplus-nord-5-12gb-256gb/s?k=oneplus+nord+5+12gb+256gb</t>
  </si>
  <si>
    <t xml:space="preserve">Search returned Nord 6 / 15R instead</t>
  </si>
  <si>
    <t xml:space="preserve">POCO X8 Pro</t>
  </si>
  <si>
    <t xml:space="preserve">CONFLICTING (Smartprix ₹39,999 vs 91mobiles ₹41,999–42,999)</t>
  </si>
  <si>
    <t xml:space="preserve">https://www.smartprix.com/mobiles/poco-x8-pro-5g-12gb-ram-256gb-ppd15mvem8mu</t>
  </si>
  <si>
    <t xml:space="preserve">Borderline. Launch price was ₹35,999</t>
  </si>
  <si>
    <t xml:space="preserve">https://www.91mobiles.com/poco-x8-pro-price-in-india</t>
  </si>
  <si>
    <t xml:space="preserve">Amazon listed the 8GB variant at ₹38,890</t>
  </si>
  <si>
    <t xml:space="preserve">Redmi Note 15 Pro+</t>
  </si>
  <si>
    <t xml:space="preserve">12GB+512GB</t>
  </si>
  <si>
    <t xml:space="preserve">https://www.flipkart.com/redmi-note-15-pro-5g-carbon-black-512-gb/p/itm3174106e5bf60</t>
  </si>
  <si>
    <t xml:space="preserve">Launch price ₹43,999</t>
  </si>
  <si>
    <t xml:space="preserve">Aggregator (91mobiles 13-Oct-2026)</t>
  </si>
  <si>
    <t xml:space="preserve">https://www.91mobiles.com/xiaomi-redmi-note-15-pro-plus-price-in-india</t>
  </si>
  <si>
    <t xml:space="preserve">Above budget on Amazon</t>
  </si>
  <si>
    <t xml:space="preserve">vivo T5 Pro</t>
  </si>
  <si>
    <t xml:space="preserve">₹3,000 instant bank discount (launch)</t>
  </si>
  <si>
    <t xml:space="preserve">CONFLICTING (₹39,999 vs Smartprix Flipkart ₹41,999)</t>
  </si>
  <si>
    <t xml:space="preserve">https://www.91mobiles.com/vivo-t5-pro-price-in-india</t>
  </si>
  <si>
    <t xml:space="preserve">Borderline. Bank offer is conditional and its current validity is unconfirmed</t>
  </si>
  <si>
    <t xml:space="preserve">Motorola Edge 70 Pro (ref.)</t>
  </si>
  <si>
    <t xml:space="preserve">Aggregator (91mobiles 14-Oct-2026)</t>
  </si>
  <si>
    <t xml:space="preserve">https://www.91mobiles.com/motorola-edge-70-pro-5g-price-in-india</t>
  </si>
  <si>
    <t xml:space="preserve">OVER BUDGET. Launch ₹41,999</t>
  </si>
  <si>
    <t xml:space="preserve">Seen at ₹39,999 only during sale events</t>
  </si>
  <si>
    <t xml:space="preserve">LOWEST LISTED NON-EXCHANGE PRICE PER MODEL (formula: MINIFS over column E; blank E = not found)</t>
  </si>
  <si>
    <t xml:space="preserve">Lowest listed (₹)</t>
  </si>
  <si>
    <t xml:space="preserve">≤ ₹40,000?</t>
  </si>
  <si>
    <t xml:space="preserve">Δ vs baseline 8+256 (₹)</t>
  </si>
  <si>
    <t xml:space="preserve">Full Technical Specifications – side by side</t>
  </si>
  <si>
    <t xml:space="preserve">Columns = phones (the baseline is the first column). Values come from official pages and independent spec sheets (GSMArena, 91mobiles, Smartprix). 'Not verified' means it was not confirmed during this research. Brightness labels: typ = typical, HBM = high-brightness mode, peak = small-patch peak.</t>
  </si>
  <si>
    <t xml:space="preserve">Specification</t>
  </si>
  <si>
    <t xml:space="preserve">Nord CE6 (base)</t>
  </si>
  <si>
    <t xml:space="preserve">Moto Edge 70 Pro (ref, &gt;₹40k)</t>
  </si>
  <si>
    <t xml:space="preserve">A. PRICE &amp; AVAILABILITY</t>
  </si>
  <si>
    <t xml:space="preserve">Variant compared</t>
  </si>
  <si>
    <t xml:space="preserve">Regular price used (₹)</t>
  </si>
  <si>
    <t xml:space="preserve">India launch</t>
  </si>
  <si>
    <t xml:space="preserve">May-2026</t>
  </si>
  <si>
    <t xml:space="preserve">Aug-2025</t>
  </si>
  <si>
    <t xml:space="preserve">Mar-2025</t>
  </si>
  <si>
    <t xml:space="preserve">May-2025</t>
  </si>
  <si>
    <t xml:space="preserve">Jul-2025</t>
  </si>
  <si>
    <t xml:space="preserve">Mar-2026</t>
  </si>
  <si>
    <t xml:space="preserve">Jan-2026</t>
  </si>
  <si>
    <t xml:space="preserve">Apr-2026</t>
  </si>
  <si>
    <t xml:space="preserve">1 yr OnePlus India</t>
  </si>
  <si>
    <t xml:space="preserve">1 yr manufacturer (India)</t>
  </si>
  <si>
    <t xml:space="preserve">B. PROCESSOR &amp; MEMORY</t>
  </si>
  <si>
    <t xml:space="preserve">Qualcomm Snapdragon 7s Gen 4</t>
  </si>
  <si>
    <t xml:space="preserve">Qualcomm Snapdragon 8s Gen 4</t>
  </si>
  <si>
    <t xml:space="preserve">Qualcomm Snapdragon 8s Gen 3</t>
  </si>
  <si>
    <t xml:space="preserve">MediaTek Dimensity 8400-Max</t>
  </si>
  <si>
    <t xml:space="preserve">MediaTek Dimensity 8500-Ultra</t>
  </si>
  <si>
    <t xml:space="preserve">MediaTek Dimensity 8500-Extreme</t>
  </si>
  <si>
    <t xml:space="preserve">Physical RAM</t>
  </si>
  <si>
    <t xml:space="preserve">8GB LPDDR4X</t>
  </si>
  <si>
    <t xml:space="preserve">12GB LPDDR5X</t>
  </si>
  <si>
    <t xml:space="preserve">12GB LPDDR4X</t>
  </si>
  <si>
    <t xml:space="preserve">Storage / type</t>
  </si>
  <si>
    <t xml:space="preserve">256GB UFS 3.1 (reported)</t>
  </si>
  <si>
    <t xml:space="preserve">256GB UFS 4.0</t>
  </si>
  <si>
    <t xml:space="preserve">256GB UFS 4.1</t>
  </si>
  <si>
    <t xml:space="preserve">512GB UFS 2.2</t>
  </si>
  <si>
    <t xml:space="preserve">256GB UFS 3.1</t>
  </si>
  <si>
    <t xml:space="preserve">Expandable storage</t>
  </si>
  <si>
    <t xml:space="preserve">No</t>
  </si>
  <si>
    <t xml:space="preserve">Virtual RAM (ignored for eligibility)</t>
  </si>
  <si>
    <t xml:space="preserve">Yes (storage-based)</t>
  </si>
  <si>
    <t xml:space="preserve">C. DISPLAY</t>
  </si>
  <si>
    <t xml:space="preserve">Size / type</t>
  </si>
  <si>
    <t xml:space="preserve">6.78" AMOLED</t>
  </si>
  <si>
    <t xml:space="preserve">6.8" AMOLED</t>
  </si>
  <si>
    <t xml:space="preserve">6.83" AMOLED</t>
  </si>
  <si>
    <t xml:space="preserve">6.59" AMOLED</t>
  </si>
  <si>
    <t xml:space="preserve">6.8" P-OLED</t>
  </si>
  <si>
    <t xml:space="preserve">Resolution</t>
  </si>
  <si>
    <t xml:space="preserve">1.5K</t>
  </si>
  <si>
    <t xml:space="preserve">Refresh rate</t>
  </si>
  <si>
    <t xml:space="preserve">144Hz</t>
  </si>
  <si>
    <t xml:space="preserve">120Hz</t>
  </si>
  <si>
    <t xml:space="preserve">144Hz (games) / 120Hz</t>
  </si>
  <si>
    <t xml:space="preserve">Brightness</t>
  </si>
  <si>
    <t xml:space="preserve">800 typ / 1,800 HBM / 3,600 peak</t>
  </si>
  <si>
    <t xml:space="preserve">600 typ / 1,600 HBM</t>
  </si>
  <si>
    <t xml:space="preserve">Up to 4,500 peak (claimed)</t>
  </si>
  <si>
    <t xml:space="preserve">Up to 6,000 peak (claimed)</t>
  </si>
  <si>
    <t xml:space="preserve">1,800 HBM (claimed)</t>
  </si>
  <si>
    <t xml:space="preserve">3,500 peak claimed; GSMArena measured 797 nits (boost), 3,638 on 10% patch</t>
  </si>
  <si>
    <t xml:space="preserve">Up to 5,000 local peak (claimed)</t>
  </si>
  <si>
    <t xml:space="preserve">Up to 5,200 peak (claimed)</t>
  </si>
  <si>
    <t xml:space="preserve">Protection</t>
  </si>
  <si>
    <t xml:space="preserve">Gorilla Glass Victus 2 (reported)</t>
  </si>
  <si>
    <t xml:space="preserve">Gorilla Glass 7i</t>
  </si>
  <si>
    <t xml:space="preserve">D. CAMERAS</t>
  </si>
  <si>
    <t xml:space="preserve">Main rear</t>
  </si>
  <si>
    <t xml:space="preserve">50MP OV50D40 f/1.8, OIS</t>
  </si>
  <si>
    <t xml:space="preserve">50MP, OIS</t>
  </si>
  <si>
    <t xml:space="preserve">50MP Sony LYT-600, OIS</t>
  </si>
  <si>
    <t xml:space="preserve">50MP Sony IMX896, OIS</t>
  </si>
  <si>
    <t xml:space="preserve">50MP Sony LYT-700 (IMX906), OIS</t>
  </si>
  <si>
    <t xml:space="preserve">200MP, OIS</t>
  </si>
  <si>
    <t xml:space="preserve">50MP Sony IMX882</t>
  </si>
  <si>
    <t xml:space="preserve">50MP Sony LYTIA, OIS</t>
  </si>
  <si>
    <t xml:space="preserve">Ultrawide</t>
  </si>
  <si>
    <t xml:space="preserve">None (2MP aux)</t>
  </si>
  <si>
    <t xml:space="preserve">8MP</t>
  </si>
  <si>
    <t xml:space="preserve">8MP (116°)</t>
  </si>
  <si>
    <t xml:space="preserve">None (2MP bokeh)</t>
  </si>
  <si>
    <t xml:space="preserve">50MP</t>
  </si>
  <si>
    <t xml:space="preserve">Telephoto</t>
  </si>
  <si>
    <t xml:space="preserve">Front</t>
  </si>
  <si>
    <t xml:space="preserve">16MP</t>
  </si>
  <si>
    <t xml:space="preserve">50MP (AF)</t>
  </si>
  <si>
    <t xml:space="preserve">20MP</t>
  </si>
  <si>
    <t xml:space="preserve">Max video (rear)</t>
  </si>
  <si>
    <t xml:space="preserve">4K 60fps (reported)</t>
  </si>
  <si>
    <t xml:space="preserve">4K (reported)</t>
  </si>
  <si>
    <t xml:space="preserve">4K 30fps (reported)</t>
  </si>
  <si>
    <t xml:space="preserve">E. BATTERY &amp; CHARGING</t>
  </si>
  <si>
    <t xml:space="preserve">8,000mAh</t>
  </si>
  <si>
    <t xml:space="preserve">7,000mAh</t>
  </si>
  <si>
    <t xml:space="preserve">6,400mAh</t>
  </si>
  <si>
    <t xml:space="preserve">6,800mAh</t>
  </si>
  <si>
    <t xml:space="preserve">6,500mAh</t>
  </si>
  <si>
    <t xml:space="preserve">6,500mAh Si-C</t>
  </si>
  <si>
    <t xml:space="preserve">9,020mAh</t>
  </si>
  <si>
    <t xml:space="preserve">Wired charging</t>
  </si>
  <si>
    <t xml:space="preserve">80W</t>
  </si>
  <si>
    <t xml:space="preserve">120W</t>
  </si>
  <si>
    <t xml:space="preserve">100W</t>
  </si>
  <si>
    <t xml:space="preserve">90W</t>
  </si>
  <si>
    <t xml:space="preserve">Measured / claimed charge time</t>
  </si>
  <si>
    <t xml:space="preserve">4→50% ~30 min (Beebom)</t>
  </si>
  <si>
    <t xml:space="preserve">Full ~54–55 min (Digit)</t>
  </si>
  <si>
    <t xml:space="preserve">50% 15 min / 100% ~40 min (claimed)</t>
  </si>
  <si>
    <t xml:space="preserve">Full &lt;40 min (review claim)</t>
  </si>
  <si>
    <t xml:space="preserve">0→100% 41 min (GSMArena)</t>
  </si>
  <si>
    <t xml:space="preserve">20→100% ~38 min (91mobiles)</t>
  </si>
  <si>
    <t xml:space="preserve">Wireless / reverse</t>
  </si>
  <si>
    <t xml:space="preserve">15W wireless + 10W reverse (region-dependent)</t>
  </si>
  <si>
    <t xml:space="preserve">F. SOFTWARE</t>
  </si>
  <si>
    <t xml:space="preserve">OxygenOS 16 / Android 16</t>
  </si>
  <si>
    <t xml:space="preserve">ColorOS 15 / Android 15 (now ColorOS 16)</t>
  </si>
  <si>
    <t xml:space="preserve">Funtouch 15 / Android 15 (now OriginOS 6)</t>
  </si>
  <si>
    <t xml:space="preserve">realme UI 6 / Android 15</t>
  </si>
  <si>
    <t xml:space="preserve">OxygenOS 15 / Android 15</t>
  </si>
  <si>
    <t xml:space="preserve">HyperOS 3 / Android 16</t>
  </si>
  <si>
    <t xml:space="preserve">HyperOS 2 / Android 15</t>
  </si>
  <si>
    <t xml:space="preserve">OriginOS 6 / Android 16</t>
  </si>
  <si>
    <t xml:space="preserve">Hello UI / Android 16</t>
  </si>
  <si>
    <t xml:space="preserve">Update commitment</t>
  </si>
  <si>
    <t xml:space="preserve">Not officially numbered (reported 2 OS + 4 yr security)</t>
  </si>
  <si>
    <t xml:space="preserve">Not officially published</t>
  </si>
  <si>
    <t xml:space="preserve">Not verified (forum reports slow updates)</t>
  </si>
  <si>
    <t xml:space="preserve">Security to 01-May-2031 (realme official); 3 OS + 4 yr (GT series policy, inferred)</t>
  </si>
  <si>
    <t xml:space="preserve">4 OS + 6 yr security (launch policy)</t>
  </si>
  <si>
    <t xml:space="preserve">Not officially confirmed (tracker: support to Mar-2032)</t>
  </si>
  <si>
    <t xml:space="preserve">4 OS + 6 yr security (reported for India)</t>
  </si>
  <si>
    <t xml:space="preserve">Not published</t>
  </si>
  <si>
    <t xml:space="preserve">3 OS + 5 yr security</t>
  </si>
  <si>
    <t xml:space="preserve">G. CONNECTIVITY &amp; DURABILITY</t>
  </si>
  <si>
    <t xml:space="preserve">5G / dual SIM / NFC</t>
  </si>
  <si>
    <t xml:space="preserve">Yes / Yes / Yes</t>
  </si>
  <si>
    <t xml:space="preserve">IP rating</t>
  </si>
  <si>
    <t xml:space="preserve">IP66/68/69/69K</t>
  </si>
  <si>
    <t xml:space="preserve">IP66/68/69</t>
  </si>
  <si>
    <t xml:space="preserve">IP65</t>
  </si>
  <si>
    <t xml:space="preserve">IP68/69</t>
  </si>
  <si>
    <t xml:space="preserve">IP68/69 + MIL-STD-810H</t>
  </si>
  <si>
    <t xml:space="preserve">Weight / thickness</t>
  </si>
  <si>
    <t xml:space="preserve">208–215 g / 8.5 mm</t>
  </si>
  <si>
    <t xml:space="preserve">208 g</t>
  </si>
  <si>
    <t xml:space="preserve">196 g (reported)</t>
  </si>
  <si>
    <t xml:space="preserve">~203 g (reported)</t>
  </si>
  <si>
    <t xml:space="preserve">211 g (reported)</t>
  </si>
  <si>
    <t xml:space="preserve">204 g / 8.2 mm</t>
  </si>
  <si>
    <t xml:space="preserve">213 g / 8.25 mm</t>
  </si>
  <si>
    <t xml:space="preserve">183–190 g / ~7.2 mm</t>
  </si>
  <si>
    <t xml:space="preserve">Yes</t>
  </si>
  <si>
    <t xml:space="preserve">Yes (Dolby Atmos, reported)</t>
  </si>
  <si>
    <t xml:space="preserve">Cooling</t>
  </si>
  <si>
    <t xml:space="preserve">Vapour chamber (reported)</t>
  </si>
  <si>
    <t xml:space="preserve">Active cooling FAN + vapour chamber</t>
  </si>
  <si>
    <t xml:space="preserve">Large vapour chamber</t>
  </si>
  <si>
    <t xml:space="preserve">Vapour chamber</t>
  </si>
  <si>
    <t xml:space="preserve">Spec sources: see the 'Sources' sheet. Megapixels, wattage and refresh rate do not by themselves guarantee a better real-world experience. Use the review evidence on the Benchmarks and Ratings sheets.</t>
  </si>
  <si>
    <t xml:space="preserve">Processor &amp; Benchmark Analysis</t>
  </si>
  <si>
    <t xml:space="preserve">Benchmarks come from different sources, versions and test conditions. Read them as performance TIERS. 'Measured' = independent reviewer/lab; 'Crowd avg' = NanoReview/aggregator user runs; 'Claimed' = manufacturer; 'Leak' = pre-launch listing.</t>
  </si>
  <si>
    <t xml:space="preserve">Process</t>
  </si>
  <si>
    <t xml:space="preserve">CPU configuration</t>
  </si>
  <si>
    <t xml:space="preserve">GPU</t>
  </si>
  <si>
    <t xml:space="preserve">AnTuTu total</t>
  </si>
  <si>
    <t xml:space="preserve">AnTuTu version / basis</t>
  </si>
  <si>
    <t xml:space="preserve">AnTuTu source</t>
  </si>
  <si>
    <t xml:space="preserve">GB6 single</t>
  </si>
  <si>
    <t xml:space="preserve">GB6 multi</t>
  </si>
  <si>
    <t xml:space="preserve">Geekbench source</t>
  </si>
  <si>
    <t xml:space="preserve">3DMark (Wild Life Extreme)</t>
  </si>
  <si>
    <t xml:space="preserve">Perf vs baseline (AnTuTu ×)</t>
  </si>
  <si>
    <t xml:space="preserve">Sustained / thermals</t>
  </si>
  <si>
    <t xml:space="preserve">Gaming (BGMI / CoD)</t>
  </si>
  <si>
    <t xml:space="preserve">Battery drain under load</t>
  </si>
  <si>
    <t xml:space="preserve">Everyday &amp; multitasking</t>
  </si>
  <si>
    <t xml:space="preserve">Video</t>
  </si>
  <si>
    <t xml:space="preserve">Perf rank (eligible)</t>
  </si>
  <si>
    <t xml:space="preserve">OnePlus Nord CE6 (base)</t>
  </si>
  <si>
    <t xml:space="preserve">Snapdragon 7s Gen 4</t>
  </si>
  <si>
    <t xml:space="preserve">4nm</t>
  </si>
  <si>
    <t xml:space="preserve">1×2.7 A720 + 3×2.4 A720 + 4×1.8 A520</t>
  </si>
  <si>
    <t xml:space="preserve">Adreno 810</t>
  </si>
  <si>
    <t xml:space="preserve">v11, average</t>
  </si>
  <si>
    <t xml:space="preserve">https://www.91mobiles.com/hub/alleged-oneplus-nord-ce-6-geekbench-snapdragon-7s-gen-4/</t>
  </si>
  <si>
    <t xml:space="preserve">Crowd avg (AnTuTu) / Leak (GB)</t>
  </si>
  <si>
    <t xml:space="preserve">Mild warmth; no throttling complaints in the reviews found</t>
  </si>
  <si>
    <t xml:space="preserve">BGMI runs well, per reviewers (Smartprix/Beebom). Not a high-FPS phone</t>
  </si>
  <si>
    <t xml:space="preserve">Low drain: 8,000mAh. Idle ~0.75%/hr (Beebom)</t>
  </si>
  <si>
    <t xml:space="preserve">Smooth for daily use; 8GB RAM limits heavy multitasking</t>
  </si>
  <si>
    <t xml:space="preserve">No ultrawide; basic video</t>
  </si>
  <si>
    <t xml:space="preserve">Snapdragon 8s Gen 4</t>
  </si>
  <si>
    <t xml:space="preserve">1×3.21 X4 + 3×3.0 A720 + 2×2.8 A720 + 2×2.0 A720</t>
  </si>
  <si>
    <t xml:space="preserve">Adreno 825</t>
  </si>
  <si>
    <t xml:space="preserve">v10, single review run (Digit reports 'over 2M')</t>
  </si>
  <si>
    <t xml:space="preserve">https://www.digit.in/reviews/mobile-phones/oppo-k13-turbo-pro-review-power-doesnt-quit-cooling-fan-or-not.html</t>
  </si>
  <si>
    <t xml:space="preserve">SD 8s Gen 4 class: ~3,500–4,470 (POCO F7, Gizmochina)</t>
  </si>
  <si>
    <t xml:space="preserve">Measured</t>
  </si>
  <si>
    <t xml:space="preserve">Built-in fan. 91mobiles: switching the fan off cuts frame rates and thermals worsen. Digit: performance stays consistent</t>
  </si>
  <si>
    <t xml:space="preserve">Best sustained gaming in the eligible set</t>
  </si>
  <si>
    <t xml:space="preserve">PCMark &gt;17 h screen-on (Digit). 1.5 days moderate use</t>
  </si>
  <si>
    <t xml:space="preserve">Flagship-class</t>
  </si>
  <si>
    <t xml:space="preserve">Snapdragon 8s Gen 3</t>
  </si>
  <si>
    <t xml:space="preserve">1×3.0 X4 + 4×2.8 A720 + 3×2.0 A520</t>
  </si>
  <si>
    <t xml:space="preserve">Adreno 735</t>
  </si>
  <si>
    <t xml:space="preserve">v10, review run (range 1.48–1.79M)</t>
  </si>
  <si>
    <t xml:space="preserve">https://www.91mobiles.com/hub/iqoo-neo-10r-review/</t>
  </si>
  <si>
    <t xml:space="preserve">https://nanoreview.net/en/phone/vivo-iqoo-neo-7-pro</t>
  </si>
  <si>
    <t xml:space="preserve">Measured (AnTuTu) / Crowd avg (GB)</t>
  </si>
  <si>
    <t xml:space="preserve">Good. Gaming-focused tuning</t>
  </si>
  <si>
    <t xml:space="preserve">BGMI/CoD frame rates similar to POCO X7 Pro (91mobiles). 144Hz in supported games</t>
  </si>
  <si>
    <t xml:space="preserve">PCMark &gt;16 h (review)</t>
  </si>
  <si>
    <t xml:space="preserve">Fast</t>
  </si>
  <si>
    <t xml:space="preserve">4K60 (reported)</t>
  </si>
  <si>
    <t xml:space="preserve">Dimensity 8400-Max</t>
  </si>
  <si>
    <t xml:space="preserve">1×3.25 A725 + 3×3.0 A725 + 4×2.1 A725</t>
  </si>
  <si>
    <t xml:space="preserve">Mali-G720 MC7</t>
  </si>
  <si>
    <t xml:space="preserve">Manufacturer claim 'over 1.78M' (independent runs vary 1.6M–2.2M)</t>
  </si>
  <si>
    <t xml:space="preserve">https://www.realme.com/in/realme-gt-7t-5g</t>
  </si>
  <si>
    <t xml:space="preserve">https://www.mysmartprice.com/performance-test/realme-gt-7t-619909</t>
  </si>
  <si>
    <t xml:space="preserve">Claimed (AnTuTu) / Measured (GB)</t>
  </si>
  <si>
    <t xml:space="preserve">Large vapour chamber. No major throttling reports found</t>
  </si>
  <si>
    <t xml:space="preserve">Strong high-FPS gaming</t>
  </si>
  <si>
    <t xml:space="preserve">Good: 7,000mAh</t>
  </si>
  <si>
    <t xml:space="preserve">v10, review run (other run 1,481,616)</t>
  </si>
  <si>
    <t xml:space="preserve">https://www.91mobiles.com/reviews/oneplus-nord-5-review/</t>
  </si>
  <si>
    <t xml:space="preserve">https://www.mysmartprice.com/mobile/oneplus-nord-5-msp22894/benchmark-scores</t>
  </si>
  <si>
    <t xml:space="preserve">Good (vapour chamber)</t>
  </si>
  <si>
    <t xml:space="preserve">Strong: 144Hz</t>
  </si>
  <si>
    <t xml:space="preserve">2 days moderate use (review)</t>
  </si>
  <si>
    <t xml:space="preserve">Dimensity 8500-Ultra</t>
  </si>
  <si>
    <t xml:space="preserve">1×3.4 A725 + 3×3.2 A725 + 4×2.2 A725 (reported)</t>
  </si>
  <si>
    <t xml:space="preserve">Mali-G720 MC8</t>
  </si>
  <si>
    <t xml:space="preserve">v11 crowd avg ~2.09M (GSMArena own run 1.66M)</t>
  </si>
  <si>
    <t xml:space="preserve">https://nanoreview.net/en/phone/xiaomi-poco-x8-pro</t>
  </si>
  <si>
    <t xml:space="preserve">~3,056–4,162 low/high loop (Gizmochina)</t>
  </si>
  <si>
    <t xml:space="preserve">Crowd avg / Measured</t>
  </si>
  <si>
    <t xml:space="preserve">Near-flagship (GSMArena). Gets hot while charging</t>
  </si>
  <si>
    <t xml:space="preserve">Strong: D8500 ≈ SD 8s Gen 4 in GPU tests</t>
  </si>
  <si>
    <t xml:space="preserve">GSMArena Active Use 16:52 h. Beebom ~7 h SoT</t>
  </si>
  <si>
    <t xml:space="preserve">MySmartPrice lab (version not stated)</t>
  </si>
  <si>
    <t xml:space="preserve">https://www.mysmartprice.com/performance-test/xiaomi-redmi-note-15-pro-plus-23455</t>
  </si>
  <si>
    <t xml:space="preserve">OK. Smartprix reports occasional lag</t>
  </si>
  <si>
    <t xml:space="preserve">Casual/medium settings</t>
  </si>
  <si>
    <t xml:space="preserve">Good: 6,500mAh Si-C</t>
  </si>
  <si>
    <t xml:space="preserve">Decent, not fast (Smartprix). UFS 2.2 slows app installs</t>
  </si>
  <si>
    <t xml:space="preserve">200MP stills. Video not standout</t>
  </si>
  <si>
    <t xml:space="preserve">Digit review (vivo claims 1.2M)</t>
  </si>
  <si>
    <t xml:space="preserve">https://www.digit.in/reviews/mobile-phones/vivo-t5-pro-review-9020mah-big-battery-for-rs-30000-but-what-is-the-catch.html</t>
  </si>
  <si>
    <t xml:space="preserve">Same tier as baseline</t>
  </si>
  <si>
    <t xml:space="preserve">BGMI fine at balanced settings</t>
  </si>
  <si>
    <t xml:space="preserve">Excellent: ~2 days (9,020mAh)</t>
  </si>
  <si>
    <t xml:space="preserve">Smooth</t>
  </si>
  <si>
    <t xml:space="preserve">Weak low-light video (reviews)</t>
  </si>
  <si>
    <t xml:space="preserve">Dimensity 8500-Extreme</t>
  </si>
  <si>
    <t xml:space="preserve">Review run (other ~2.19M)</t>
  </si>
  <si>
    <t xml:space="preserve">https://www.digit.in/reviews/mobile-phones/motorola-edge-70-pro-review-one-of-the-most-complete-phones-you-can-buy-but.html</t>
  </si>
  <si>
    <t xml:space="preserve">Inconsistent thermal management (reviewers)</t>
  </si>
  <si>
    <t xml:space="preserve">Strong</t>
  </si>
  <si>
    <t xml:space="preserve">NanoReview: 14:43 h web, 23:48 h video</t>
  </si>
  <si>
    <t xml:space="preserve">Good. Strong ultrawide</t>
  </si>
  <si>
    <t xml:space="preserve">Real-world ranking (benchmarks + sustained behaviour): 1) OPPO K13 Turbo Pro (SD 8s Gen 4 + fan) ≈ 2) POCO X8 Pro (D8500-Ultra) &gt; 3) realme GT 7T (D8400-Max) &gt; 4) OnePlus Nord 5 ≈ iQOO Neo 10R (SD 8s Gen 3) &gt;&gt; vivo T5 Pro ≈ Nord CE6 ≈ Redmi Note 15 Pro+ (SD 7s Gen 4). Max-highlights in F/I/J exclude the baseline row and the over-budget Moto row.</t>
  </si>
  <si>
    <t xml:space="preserve">3DMark Wild Life Extreme figures were found only for the SD 8s Gen 4 vs Dimensity 8500 comparison (Gizmochina, NanoReview, Beebom). Sources disagree on which chip leads, so they are treated as equal tier. Source: https://www.gizmochina.com/2026/06/06/snapdragon-8s-gen-4-vs-dimensity-8500-ultra-benchmark-score-spec-sheet-and-more/</t>
  </si>
  <si>
    <t xml:space="preserve">The Redmi Note 15 Pro+ uses the same SoC as the baseline but measured ~8% lower on AnTuTu. Its slower LPDDR4X RAM and UFS 2.2 storage are the likely cause.</t>
  </si>
  <si>
    <t xml:space="preserve">CPU core layouts follow Qualcomm/MediaTek public spec sheets as reported by the spec aggregators. They were not re-fetched from the vendors' sites in this session.</t>
  </si>
  <si>
    <t xml:space="preserve">Customer Ratings &amp; Independent Reviews</t>
  </si>
  <si>
    <t xml:space="preserve">Customer ratings are kept separate from professional scores. Ratings came through aggregators (MySmartPrice, 91mobiles, deal sites scraping Amazon), because retailer pages could not be opened directly. Counts can combine variants.</t>
  </si>
  <si>
    <t xml:space="preserve">Customer rating (/5)</t>
  </si>
  <si>
    <t xml:space="preserve">No. of ratings</t>
  </si>
  <si>
    <t xml:space="preserve">Platform</t>
  </si>
  <si>
    <t xml:space="preserve">Date checked</t>
  </si>
  <si>
    <t xml:space="preserve">Rating source link</t>
  </si>
  <si>
    <t xml:space="preserve">Rating status</t>
  </si>
  <si>
    <t xml:space="preserve">Expert score / verdict</t>
  </si>
  <si>
    <t xml:space="preserve">Expert source</t>
  </si>
  <si>
    <t xml:space="preserve">Praised</t>
  </si>
  <si>
    <t xml:space="preserve">Complaints</t>
  </si>
  <si>
    <t xml:space="preserve">Camera feedback</t>
  </si>
  <si>
    <t xml:space="preserve">Battery / charging feedback</t>
  </si>
  <si>
    <t xml:space="preserve">Gaming / heat feedback</t>
  </si>
  <si>
    <t xml:space="preserve">Software feedback</t>
  </si>
  <si>
    <t xml:space="preserve">Build feedback</t>
  </si>
  <si>
    <t xml:space="preserve">Amazon (via deal-site scrape); MSP 256GB: 1,312</t>
  </si>
  <si>
    <t xml:space="preserve">Aggregator</t>
  </si>
  <si>
    <t xml:space="preserve">No numeric score</t>
  </si>
  <si>
    <t xml:space="preserve">Battery, IP69K durability, display, selfie</t>
  </si>
  <si>
    <t xml:space="preserve">Confusing camera choices (no ultrawide), price hikes, 8GB only, fewer OS upgrades</t>
  </si>
  <si>
    <t xml:space="preserve">Main camera OK in daylight; no ultrawide</t>
  </si>
  <si>
    <t xml:space="preserve">Excellent, 2-day battery</t>
  </si>
  <si>
    <t xml:space="preserve">Handles BGMI well</t>
  </si>
  <si>
    <t xml:space="preserve">Clean OxygenOS 16. Update promise reduced</t>
  </si>
  <si>
    <t xml:space="preserve">Solid, IP69K</t>
  </si>
  <si>
    <t xml:space="preserve">MySmartPrice aggregate (12GB variant)</t>
  </si>
  <si>
    <t xml:space="preserve">https://www.mysmartprice.com/mobile/oppo-k13-turbo-pro-12gb-msp620188</t>
  </si>
  <si>
    <t xml:space="preserve">Positive (Digit: 'power doesn't quit')</t>
  </si>
  <si>
    <t xml:space="preserve">Raw performance, cooling fan, battery</t>
  </si>
  <si>
    <t xml:space="preserve">Limited update policy, basic camera, stock availability</t>
  </si>
  <si>
    <t xml:space="preserve">Average; no ultrawide</t>
  </si>
  <si>
    <t xml:space="preserve">PCMark &gt;17 h. 80W</t>
  </si>
  <si>
    <t xml:space="preserve">Stays cool under load</t>
  </si>
  <si>
    <t xml:space="preserve">ColorOS 16 rolled out; long-term policy unclear</t>
  </si>
  <si>
    <t xml:space="preserve">IP69 despite fan; 208 g</t>
  </si>
  <si>
    <t xml:space="preserve">MySmartPrice aggregate (Digit voters: 3.7 from 306)</t>
  </si>
  <si>
    <t xml:space="preserve">https://www.mysmartprice.com/mobile/iqoo-neo-10r-msp619551</t>
  </si>
  <si>
    <t xml:space="preserve">Positive (Digit: 'the gaming phone you were waiting for')</t>
  </si>
  <si>
    <t xml:space="preserve">https://www.digit.in/reviews/mobile-phones/iqoo-neo-10r-review-the-gaming-phone-you-were-waiting-for.html</t>
  </si>
  <si>
    <t xml:space="preserve">Performance per rupee, 144Hz, battery</t>
  </si>
  <si>
    <t xml:space="preserve">IP65 only, slow update rollouts (forum)</t>
  </si>
  <si>
    <t xml:space="preserve">Good main camera, average ultrawide</t>
  </si>
  <si>
    <t xml:space="preserve">PCMark &gt;16 h</t>
  </si>
  <si>
    <t xml:space="preserve">Strong gaming</t>
  </si>
  <si>
    <t xml:space="preserve">Now on OriginOS 6. Updates reportedly slow</t>
  </si>
  <si>
    <t xml:space="preserve">Light, 196 g</t>
  </si>
  <si>
    <t xml:space="preserve">91mobiles aggregate (12GB). Count not shown</t>
  </si>
  <si>
    <t xml:space="preserve">Aggregator (no count)</t>
  </si>
  <si>
    <t xml:space="preserve">NanoReview: camera 73, battery 90</t>
  </si>
  <si>
    <t xml:space="preserve">https://nanoreview.net/en/phone/realme-gt-7t</t>
  </si>
  <si>
    <t xml:space="preserve">Battery + 120W charging, bright display, performance</t>
  </si>
  <si>
    <t xml:space="preserve">Camera merely good; low-light average</t>
  </si>
  <si>
    <t xml:space="preserve">Decent daylight, average night</t>
  </si>
  <si>
    <t xml:space="preserve">Excellent, 7,000mAh / 120W</t>
  </si>
  <si>
    <t xml:space="preserve">No major heat reports found</t>
  </si>
  <si>
    <t xml:space="preserve">realme UI. Some bloat</t>
  </si>
  <si>
    <t xml:space="preserve">IP69</t>
  </si>
  <si>
    <t xml:space="preserve">https://www.smartprix.com/mobiles/oneplus-nord-5-12gb-ram-256gb-ppd1b9svl1s7</t>
  </si>
  <si>
    <t xml:space="preserve">Positive (Fonearena: 'complete mid-range package')</t>
  </si>
  <si>
    <t xml:space="preserve">https://www.fonearena.com/blog/458245/oneplus-nord-5-review.html</t>
  </si>
  <si>
    <t xml:space="preserve">Balanced; main + selfie camera; 144Hz</t>
  </si>
  <si>
    <t xml:space="preserve">Weak ultrawide; chip a generation old; stock</t>
  </si>
  <si>
    <t xml:space="preserve">Reliable main, weak ultrawide</t>
  </si>
  <si>
    <t xml:space="preserve">2 days moderate use</t>
  </si>
  <si>
    <t xml:space="preserve">Good</t>
  </si>
  <si>
    <t xml:space="preserve">Clean OxygenOS. 4 OS + 6 yr</t>
  </si>
  <si>
    <t xml:space="preserve">Flipkart (8GB/256GB listing)</t>
  </si>
  <si>
    <t xml:space="preserve">https://www.flipkart.com/poco-x8-pro-white-256-gb/p/itmaa692ca8a3b36</t>
  </si>
  <si>
    <t xml:space="preserve">Gadreview battery 9.5/10, camera 7.5/10</t>
  </si>
  <si>
    <t xml:space="preserve">https://www.gsmarena.com/poco_x8_pro-review-2946p6.php</t>
  </si>
  <si>
    <t xml:space="preserve">Chip, battery life, fast charging, display</t>
  </si>
  <si>
    <t xml:space="preserve">Average cameras; HyperOS ads; heats while charging</t>
  </si>
  <si>
    <t xml:space="preserve">'Average at best' (Beebom)</t>
  </si>
  <si>
    <t xml:space="preserve">16:52 h Active Use (GSMArena)</t>
  </si>
  <si>
    <t xml:space="preserve">Near-flagship. Warm when charging</t>
  </si>
  <si>
    <t xml:space="preserve">HyperOS 3. Touch-fix updates delivered</t>
  </si>
  <si>
    <t xml:space="preserve">IP69K, 204 g</t>
  </si>
  <si>
    <t xml:space="preserve">91mobiles 8.1/10</t>
  </si>
  <si>
    <t xml:space="preserve">https://www.91mobiles.com/reviews/redmi-note-15-pro-plus-review/</t>
  </si>
  <si>
    <t xml:space="preserve">200MP daylight photos, battery, durability, display</t>
  </si>
  <si>
    <t xml:space="preserve">Android 15 at launch, ads/bloat, occasional lag, UFS 2.2</t>
  </si>
  <si>
    <t xml:space="preserve">Excellent daylight; weaker portraits/low light/ultrawide</t>
  </si>
  <si>
    <t xml:space="preserve">Lasts to next morning for heavy users; 38 min charge</t>
  </si>
  <si>
    <t xml:space="preserve">Medium</t>
  </si>
  <si>
    <t xml:space="preserve">HyperOS ads (Smartprix)</t>
  </si>
  <si>
    <t xml:space="preserve">Beebom 8.5/10; Editorji 8.5/10</t>
  </si>
  <si>
    <t xml:space="preserve">https://gadgets.beebom.com/reviews/vivo-t5-pro-review</t>
  </si>
  <si>
    <t xml:space="preserve">Massive battery, bright 144Hz display</t>
  </si>
  <si>
    <t xml:space="preserve">Chip a sidegrade vs T4 Pro; no ultrawide; weak low light</t>
  </si>
  <si>
    <t xml:space="preserve">Daylight OK, low light weak</t>
  </si>
  <si>
    <t xml:space="preserve">Best here: ~2 days</t>
  </si>
  <si>
    <t xml:space="preserve">Fine</t>
  </si>
  <si>
    <t xml:space="preserve">OriginOS 6. Policy unpublished</t>
  </si>
  <si>
    <t xml:space="preserve">IP68/69, 213 g</t>
  </si>
  <si>
    <t xml:space="preserve">Flipkart (Edge 70 Pro+ listing – different variant)</t>
  </si>
  <si>
    <t xml:space="preserve">https://www.flipkart.com/motorola-edge-70-pro/p/itm70caeee0ca941</t>
  </si>
  <si>
    <t xml:space="preserve">Retailer snapshot (variant mismatch)</t>
  </si>
  <si>
    <t xml:space="preserve">Digit: 'one of the most complete phones you can buy, but…'</t>
  </si>
  <si>
    <t xml:space="preserve">Ultrawide, display, slim 7.2mm build</t>
  </si>
  <si>
    <t xml:space="preserve">Inconsistent thermals; skin tones</t>
  </si>
  <si>
    <t xml:space="preserve">Best ultrawide in group</t>
  </si>
  <si>
    <t xml:space="preserve">Thermal inconsistency</t>
  </si>
  <si>
    <t xml:space="preserve">Near-stock Hello UI</t>
  </si>
  <si>
    <t xml:space="preserve">IP68/69 + MIL-STD</t>
  </si>
  <si>
    <t xml:space="preserve">Confidence rule: a 4.5 from ~14K ratings (Neo 10R) outweighs a 4.5 with no count (GT 7T). Phones without a found rating count score only 2/5 in 'Ratings &amp; reliability'. High early ratings are not taken as proof of long-term reliability.</t>
  </si>
  <si>
    <t xml:space="preserve">Weighted Scorecard (out of 100)</t>
  </si>
  <si>
    <t xml:space="preserve">Research date 14-Oct-2026. Edit the blue category scores (cols H–O); totals, eligibility, ranks and winners recalculate. Eligibility is separate from score: regular price ≤ ₹40,000 (no bank/exchange), physical RAM ≥ 12GB, CPU matches/exceeds baseline.</t>
  </si>
  <si>
    <t xml:space="preserve">Key</t>
  </si>
  <si>
    <t xml:space="preserve">Release year</t>
  </si>
  <si>
    <t xml:space="preserve">Physical RAM (GB)</t>
  </si>
  <si>
    <t xml:space="preserve">Processor &amp; sustained (25)</t>
  </si>
  <si>
    <t xml:space="preserve">Display (15)</t>
  </si>
  <si>
    <t xml:space="preserve">Camera (15)</t>
  </si>
  <si>
    <t xml:space="preserve">Battery &amp; charging (15)</t>
  </si>
  <si>
    <t xml:space="preserve">Software &amp; UX (10)</t>
  </si>
  <si>
    <t xml:space="preserve">Build &amp; durability (5)</t>
  </si>
  <si>
    <t xml:space="preserve">Ratings &amp; reliability (5)</t>
  </si>
  <si>
    <t xml:space="preserve">Value for money (10)</t>
  </si>
  <si>
    <t xml:space="preserve">TOTAL (100)</t>
  </si>
  <si>
    <t xml:space="preserve">Price ≤ ₹40k?</t>
  </si>
  <si>
    <t xml:space="preserve">RAM ≥ 12GB?</t>
  </si>
  <si>
    <t xml:space="preserve">CPU ≥ baseline?</t>
  </si>
  <si>
    <t xml:space="preserve">ELIGIBLE?</t>
  </si>
  <si>
    <t xml:space="preserve">Overall rank (eligible)</t>
  </si>
  <si>
    <t xml:space="preserve">Δ price vs baseline (₹)</t>
  </si>
  <si>
    <t xml:space="preserve">Best retailer link</t>
  </si>
  <si>
    <t xml:space="preserve">Score justification</t>
  </si>
  <si>
    <t xml:space="preserve">helper_P</t>
  </si>
  <si>
    <t xml:space="preserve">helper_H</t>
  </si>
  <si>
    <t xml:space="preserve">helper_J</t>
  </si>
  <si>
    <t xml:space="preserve">helper_K</t>
  </si>
  <si>
    <t xml:space="preserve">helper_I</t>
  </si>
  <si>
    <t xml:space="preserve">helper_L</t>
  </si>
  <si>
    <t xml:space="preserve">helper_M</t>
  </si>
  <si>
    <t xml:space="preserve">helper_N</t>
  </si>
  <si>
    <t xml:space="preserve">helper_O</t>
  </si>
  <si>
    <t xml:space="preserve">CE6</t>
  </si>
  <si>
    <t xml:space="preserve">OnePlus Nord CE6 (BASELINE)</t>
  </si>
  <si>
    <t xml:space="preserve">8GB + 256GB</t>
  </si>
  <si>
    <t xml:space="preserve">Baseline</t>
  </si>
  <si>
    <t xml:space="preserve">Huge 8,000mAh battery and IP69K, but mid-tier chip (AnTuTu ~1.14M), single useful rear camera (no ultrawide), only 8GB RAM, and unclear update promise (reported 2 OS upgrades).</t>
  </si>
  <si>
    <t xml:space="preserve">K13TP</t>
  </si>
  <si>
    <t xml:space="preserve">OPPO K13 Turbo Pro 5G</t>
  </si>
  <si>
    <t xml:space="preserve">12GB + 256GB</t>
  </si>
  <si>
    <t xml:space="preserve">Top performance (AnTuTu ~2.0M, GB6 2152/6744) plus an active cooling fan for sustained gaming; lowest price of the flagship-chip group. Loses points for basic camera (no ultrawide), 1600-nit HBM screen, unclear update policy and stock flicker.</t>
  </si>
  <si>
    <t xml:space="preserve">NEO10R</t>
  </si>
  <si>
    <t xml:space="preserve">iQOO Neo 10R 5G</t>
  </si>
  <si>
    <t xml:space="preserve">SD 8s Gen 3 (AnTuTu ~1.5M) and 144Hz screen at ~₹28–31k; best rating base (4.5 from ~14K ratings, aggregated). IP65 only, 6,400mAh is now merely average, older 2025 model.</t>
  </si>
  <si>
    <t xml:space="preserve">GT7T</t>
  </si>
  <si>
    <t xml:space="preserve">realme GT 7T 5G</t>
  </si>
  <si>
    <t xml:space="preserve">Strong D8400-Max (GB6 1660/6497), 7,000mAh + 120W (fastest charging here), 6,000-nit 1.5K panel, IP69, realme security support to May-2031. Camera good, not great.</t>
  </si>
  <si>
    <t xml:space="preserve">NORD5</t>
  </si>
  <si>
    <t xml:space="preserve">SD 8s Gen 3, best camera pairing in the eligible set (Sony LYT-700 OIS + 50MP AF selfie), 4 OS + 6 yr security promise. Docked for stock risk, IP65, no verified rating count.</t>
  </si>
  <si>
    <t xml:space="preserve">X8PRO</t>
  </si>
  <si>
    <t xml:space="preserve">POCO X8 Pro 5G</t>
  </si>
  <si>
    <t xml:space="preserve">Newest flagship-class chip (D8500-Ultra, AnTuTu ~1.7–2.1M), GSMArena 16:52h Active Use, 100W (0–100% 41 min), IP69K. Camera average; update policy not officially confirmed; price borderline.</t>
  </si>
  <si>
    <t xml:space="preserve">RN15PP</t>
  </si>
  <si>
    <t xml:space="preserve">Redmi Note 15 Pro+ 5G</t>
  </si>
  <si>
    <t xml:space="preserve">12GB + 512GB</t>
  </si>
  <si>
    <t xml:space="preserve">Same chip as baseline (no CPU gain), slow LPDDR4X/UFS 2.2; but 200MP OIS main camera, 512GB, IP66/68/69, 4 OS + 6 yr policy. HyperOS ads/bloat reported.</t>
  </si>
  <si>
    <t xml:space="preserve">T5PRO</t>
  </si>
  <si>
    <t xml:space="preserve">vivo T5 Pro 5G</t>
  </si>
  <si>
    <t xml:space="preserve">Biggest battery (9,020mAh) and bright 144Hz panel, but same chip as baseline, 50MP+2MP camera with no ultrawide, update policy not published. Price borderline.</t>
  </si>
  <si>
    <t xml:space="preserve">EDGE70P</t>
  </si>
  <si>
    <t xml:space="preserve">Motorola Edge 70 Pro (REFERENCE – over budget)</t>
  </si>
  <si>
    <t xml:space="preserve">Best all-rounder on paper (D8500-Extreme, AnTuTu ~2.17M, 50MP main + 50MP ultrawide, 50MP selfie, 5,200-nit, IP68/69 + MIL-STD, 3 OS + 5 yr). Excluded: regular price ₹42,985+.</t>
  </si>
  <si>
    <t xml:space="preserve">Maximum points</t>
  </si>
  <si>
    <t xml:space="preserve">CATEGORY WINNERS (eligible phones only – formula driven)</t>
  </si>
  <si>
    <t xml:space="preserve">Category</t>
  </si>
  <si>
    <t xml:space="preserve">Winning score</t>
  </si>
  <si>
    <t xml:space="preserve">Winner (first on ties)</t>
  </si>
  <si>
    <t xml:space="preserve">Overall total</t>
  </si>
  <si>
    <t xml:space="preserve">Processor &amp; sustained</t>
  </si>
  <si>
    <t xml:space="preserve">Camera</t>
  </si>
  <si>
    <t xml:space="preserve">Battery &amp; charging</t>
  </si>
  <si>
    <t xml:space="preserve">Software &amp; UX</t>
  </si>
  <si>
    <t xml:space="preserve">Build &amp; durability</t>
  </si>
  <si>
    <t xml:space="preserve">Ratings &amp; reliability</t>
  </si>
  <si>
    <t xml:space="preserve">Value for money</t>
  </si>
  <si>
    <t xml:space="preserve">SCORING CRITERIA (applied identically to every phone)</t>
  </si>
  <si>
    <t xml:space="preserve">Benchmarks (AnTuTu/Geekbench 6/3DMark where found) + chip tier + cooling. SD 7s Gen 4 class ≈15; SD 8s Gen 3 ≈20; D8400 ≈22; SD 8s Gen 4 / D8500 ≈23–24. +1 for active fan/strong sustained results; −1 for slow RAM/storage (LPDDR4X/UFS 2.2).</t>
  </si>
  <si>
    <t xml:space="preserve">Panel type/resolution (all 1.5K AMOLED), refresh, measured or official HBM brightness, protection. 11 = ≤1,800-nit HBM class; 12 = 3,500–6,000-nit peak class; 14 = 5,200-nit + Gorilla Glass 7i + 144Hz.</t>
  </si>
  <si>
    <t xml:space="preserve">Independent review verdicts weighted over megapixels. Base 8 for a single useful rear camera; +1 OIS main confirmed; +1 usable ultrawide; +1 strong selfie (AF/50MP); +1–2 for a standout main sensor (LYT-700, 200MP) per reviews.</t>
  </si>
  <si>
    <t xml:space="preserve">Capacity, independent endurance (GSMArena Active Use, PCMark), charging speed and measured times. 9,020mAh = 15; 8,000mAh = 14; 7,000mAh/120W = 13; 6,400–6,800mAh = 11–12.</t>
  </si>
  <si>
    <t xml:space="preserve">Official OS/security commitment and support years remaining from today; bloat/ads reports. An unconfirmed policy is capped at 5–6. No full marks without a published policy.</t>
  </si>
  <si>
    <t xml:space="preserve">IP rating (IP69/69K = top), glass protection, frame. IP65 = 3.</t>
  </si>
  <si>
    <t xml:space="preserve">Retail rating weighted by review count. ≥4.4 with &gt;5K ratings = 5; 4.3–4.4 with hundreds to thousands = 4; no verified count = 2 (missing data is not rewarded).</t>
  </si>
  <si>
    <t xml:space="preserve">Score-per-rupee vs the eligible set at the regular (non-offer) price; deductions for stock or price risk.</t>
  </si>
  <si>
    <t xml:space="preserve">Missing data: where no independent measurement or rating count was found, the category is scored conservatively (no unsupported points). Scores are the analyst's judgement from the cited evidence. Edit them and everything recalculates.</t>
  </si>
  <si>
    <t xml:space="preserve">Pros, Cons &amp; Buying Advice</t>
  </si>
  <si>
    <t xml:space="preserve">Improvements are judged against the OnePlus Nord CE6 baseline. Total score is linked live to the Scorecard.</t>
  </si>
  <si>
    <t xml:space="preserve">Main advantages</t>
  </si>
  <si>
    <t xml:space="preserve">Main disadvantages</t>
  </si>
  <si>
    <t xml:space="preserve">Improvements over Nord CE6</t>
  </si>
  <si>
    <t xml:space="preserve">Where the CE6 stays competitive</t>
  </si>
  <si>
    <t xml:space="preserve">Best use case</t>
  </si>
  <si>
    <t xml:space="preserve">Value assessment</t>
  </si>
  <si>
    <t xml:space="preserve">Recommendation</t>
  </si>
  <si>
    <t xml:space="preserve">Total score</t>
  </si>
  <si>
    <t xml:space="preserve">8,000mAh battery; IP69K; 144Hz 1.5K; clean OxygenOS 16</t>
  </si>
  <si>
    <t xml:space="preserve">8GB RAM only; no ultrawide; mid-tier chip; reported 2 OS upgrades; prices up ₹4k+ since launch</t>
  </si>
  <si>
    <t xml:space="preserve">Battery-first users</t>
  </si>
  <si>
    <t xml:space="preserve">Weak after the price hikes</t>
  </si>
  <si>
    <t xml:space="preserve">Not recommended at ₹35–37k given the alternatives</t>
  </si>
  <si>
    <t xml:space="preserve">SD 8s Gen 4 (~2.0M AnTuTu); cooling fan; 7,000mAh; IP69; ₹33,999</t>
  </si>
  <si>
    <t xml:space="preserve">Basic camera, no ultrawide; 1,600-nit HBM; unclear updates; Flipkart-only, stock flickers</t>
  </si>
  <si>
    <t xml:space="preserve">~1.8× AnTuTu; 12GB LPDDR5X; UFS 4.0; sustained gaming</t>
  </si>
  <si>
    <t xml:space="preserve">Bigger battery; brighter screen; IP69K; 32MP vs 16MP selfie</t>
  </si>
  <si>
    <t xml:space="preserve">Heavy gamers on a budget</t>
  </si>
  <si>
    <t xml:space="preserve">Excellent</t>
  </si>
  <si>
    <t xml:space="preserve">BUY if in stock: best performance per rupee</t>
  </si>
  <si>
    <t xml:space="preserve">SD 8s Gen 3; 144Hz; ₹28–31k; large rating base</t>
  </si>
  <si>
    <t xml:space="preserve">IP65; 6,400mAh; 2025 model; slow updates</t>
  </si>
  <si>
    <t xml:space="preserve">~1.35× AnTuTu; 12GB LPDDR5X; ultrawide</t>
  </si>
  <si>
    <t xml:space="preserve">CE6 battery (8,000 vs 6,400) and IP69K</t>
  </si>
  <si>
    <t xml:space="preserve">Gamers on a tight budget</t>
  </si>
  <si>
    <t xml:space="preserve">Best value</t>
  </si>
  <si>
    <t xml:space="preserve">BUY if budget matters most</t>
  </si>
  <si>
    <t xml:space="preserve">D8400-Max; 7,000mAh + 120W; 6,000-nit; IP69; security to 2031</t>
  </si>
  <si>
    <t xml:space="preserve">Camera only 'good'; 2025 model; prices vary across stores</t>
  </si>
  <si>
    <t xml:space="preserve">~1.5× AnTuTu; 12GB; ultrawide; 120W vs 80W; brighter panel</t>
  </si>
  <si>
    <t xml:space="preserve">Battery capacity (8,000 vs 7,000); 144Hz vs 120Hz</t>
  </si>
  <si>
    <t xml:space="preserve">All-rounder, fast-charging fans</t>
  </si>
  <si>
    <t xml:space="preserve">Very good</t>
  </si>
  <si>
    <t xml:space="preserve">BEST OVERALL BUY</t>
  </si>
  <si>
    <t xml:space="preserve">SD 8s Gen 3; LYT-700 OIS + 50MP AF selfie; 4 OS + 6 yr</t>
  </si>
  <si>
    <t xml:space="preserve">Stock doubtful; IP65; ultrawide weak</t>
  </si>
  <si>
    <t xml:space="preserve">Faster chip; better cameras; longer update promise</t>
  </si>
  <si>
    <t xml:space="preserve">Battery; IP69K; availability</t>
  </si>
  <si>
    <t xml:space="preserve">Camera + clean software</t>
  </si>
  <si>
    <t xml:space="preserve">Good if found at ≤₹37k</t>
  </si>
  <si>
    <t xml:space="preserve">BUY only from an authorised seller with stock</t>
  </si>
  <si>
    <t xml:space="preserve">D8500-Ultra; IP69K; 100W (41 min); 2026 model; 16:52 h Active Use</t>
  </si>
  <si>
    <t xml:space="preserve">Average camera; HyperOS ads; price borderline; policy unconfirmed</t>
  </si>
  <si>
    <t xml:space="preserve">~1.5–1.8× AnTuTu; UFS 4.1; ultrawide; faster charging</t>
  </si>
  <si>
    <t xml:space="preserve">Battery capacity; 144Hz; bigger screen</t>
  </si>
  <si>
    <t xml:space="preserve">Performance + newest model</t>
  </si>
  <si>
    <t xml:space="preserve">Good at ₹39,999; poor at ₹42k</t>
  </si>
  <si>
    <t xml:space="preserve">BUY if Flipkart ≤ ₹40,000</t>
  </si>
  <si>
    <t xml:space="preserve">200MP OIS main; 512GB; IP66/68/69; 4 OS + 6 yr</t>
  </si>
  <si>
    <t xml:space="preserve">Same chip; LPDDR4X/UFS 2.2; ads/bloat; Android 15 at launch</t>
  </si>
  <si>
    <t xml:space="preserve">Camera; storage; update promise</t>
  </si>
  <si>
    <t xml:space="preserve">Equal chip; CE6 battery larger; CE6 software cleaner</t>
  </si>
  <si>
    <t xml:space="preserve">Daylight photography; lots of storage</t>
  </si>
  <si>
    <t xml:space="preserve">Fair</t>
  </si>
  <si>
    <t xml:space="preserve">Consider for camera; not for performance</t>
  </si>
  <si>
    <t xml:space="preserve">9,020mAh; 144Hz 5,000-nit; IP68/69</t>
  </si>
  <si>
    <t xml:space="preserve">Same chip; no ultrawide; update policy unpublished; price borderline</t>
  </si>
  <si>
    <t xml:space="preserve">Battery (+1,020mAh); 12GB; 90W</t>
  </si>
  <si>
    <t xml:space="preserve">Equal chip and similar camera; CE6 cheaper</t>
  </si>
  <si>
    <t xml:space="preserve">Battery maximalists</t>
  </si>
  <si>
    <t xml:space="preserve">Only if battery is your #1 need</t>
  </si>
  <si>
    <t xml:space="preserve">D8500-Extreme; 50MP ultrawide + 50MP selfie; GG7i; IP68/69 + MIL-STD; 183 g; 3 OS + 5 yr</t>
  </si>
  <si>
    <t xml:space="preserve">Over budget (₹42,985+); thermals inconsistent</t>
  </si>
  <si>
    <t xml:space="preserve">Everything except battery size</t>
  </si>
  <si>
    <t xml:space="preserve">Best all-rounder if budget stretches</t>
  </si>
  <si>
    <t xml:space="preserve">Good only at ₹39,999 sale price</t>
  </si>
  <si>
    <t xml:space="preserve">EXCLUDED (over budget). Buy only in a sale ≤ ₹40k</t>
  </si>
  <si>
    <t xml:space="preserve">Sources &amp; Verification Register</t>
  </si>
  <si>
    <t xml:space="preserve">All URLs were surfaced by live web search on 14-Oct-2026. Direct page fetches were blocked in the research environment, so 'Verified' here means confirmed in the indexed page content and/or by two or more agreeing sources.</t>
  </si>
  <si>
    <t xml:space="preserve">Source ID</t>
  </si>
  <si>
    <t xml:space="preserve">Phone model</t>
  </si>
  <si>
    <t xml:space="preserve">Claim checked</t>
  </si>
  <si>
    <t xml:space="preserve">Organisation</t>
  </si>
  <si>
    <t xml:space="preserve">URL</t>
  </si>
  <si>
    <t xml:space="preserve">Verification status</t>
  </si>
  <si>
    <t xml:space="preserve">Notes / limitations</t>
  </si>
  <si>
    <t xml:space="preserve">S01</t>
  </si>
  <si>
    <t xml:space="preserve">Official specs</t>
  </si>
  <si>
    <t xml:space="preserve">OnePlus</t>
  </si>
  <si>
    <t xml:space="preserve">14-Oct-2026</t>
  </si>
  <si>
    <t xml:space="preserve">Official manufacturer</t>
  </si>
  <si>
    <t xml:space="preserve">Global page; India battery is 8,000mAh</t>
  </si>
  <si>
    <t xml:space="preserve">S02</t>
  </si>
  <si>
    <t xml:space="preserve">India launch, price, specs</t>
  </si>
  <si>
    <t xml:space="preserve">91mobiles</t>
  </si>
  <si>
    <t xml:space="preserve">Tech publication</t>
  </si>
  <si>
    <t xml:space="preserve">S03</t>
  </si>
  <si>
    <t xml:space="preserve">Launch date, sale date, prices</t>
  </si>
  <si>
    <t xml:space="preserve">Sportskeeda Tech</t>
  </si>
  <si>
    <t xml:space="preserve">S04</t>
  </si>
  <si>
    <t xml:space="preserve">Price hike to ₹36,999 (8/256)</t>
  </si>
  <si>
    <t xml:space="preserve">My Mobile India</t>
  </si>
  <si>
    <t xml:space="preserve">S05</t>
  </si>
  <si>
    <t xml:space="preserve">Amazon listing ₹34,999 (8/128)</t>
  </si>
  <si>
    <t xml:space="preserve">Snapshot</t>
  </si>
  <si>
    <t xml:space="preserve">Live page not opened</t>
  </si>
  <si>
    <t xml:space="preserve">S06</t>
  </si>
  <si>
    <t xml:space="preserve">Flipkart listing (8/128)</t>
  </si>
  <si>
    <t xml:space="preserve">S07</t>
  </si>
  <si>
    <t xml:space="preserve">Spec sheet, weight, brightness, stereo</t>
  </si>
  <si>
    <t xml:space="preserve">GSMArena</t>
  </si>
  <si>
    <t xml:space="preserve">Independent spec database</t>
  </si>
  <si>
    <t xml:space="preserve">Weight 208/215 g conflict</t>
  </si>
  <si>
    <t xml:space="preserve">S08</t>
  </si>
  <si>
    <t xml:space="preserve">Camera hardware &amp; review</t>
  </si>
  <si>
    <t xml:space="preserve">S09</t>
  </si>
  <si>
    <t xml:space="preserve">Update policy reduction</t>
  </si>
  <si>
    <t xml:space="preserve">9to5Google</t>
  </si>
  <si>
    <t xml:space="preserve">Reported</t>
  </si>
  <si>
    <t xml:space="preserve">OnePlus has not officially numbered the updates</t>
  </si>
  <si>
    <t xml:space="preserve">S10</t>
  </si>
  <si>
    <t xml:space="preserve">Battery drain, charging</t>
  </si>
  <si>
    <t xml:space="preserve">Beebom</t>
  </si>
  <si>
    <t xml:space="preserve">S11</t>
  </si>
  <si>
    <t xml:space="preserve">AnTuTu v11 average</t>
  </si>
  <si>
    <t xml:space="preserve">Mobiledokan</t>
  </si>
  <si>
    <t xml:space="preserve">Benchmark aggregator</t>
  </si>
  <si>
    <t xml:space="preserve">Crowd average</t>
  </si>
  <si>
    <t xml:space="preserve">S12</t>
  </si>
  <si>
    <t xml:space="preserve">Geekbench leak</t>
  </si>
  <si>
    <t xml:space="preserve">Benchmark listing</t>
  </si>
  <si>
    <t xml:space="preserve">Leak</t>
  </si>
  <si>
    <t xml:space="preserve">Pre-launch unit</t>
  </si>
  <si>
    <t xml:space="preserve">S13</t>
  </si>
  <si>
    <t xml:space="preserve">Rating &amp; lowest price 8/256</t>
  </si>
  <si>
    <t xml:space="preserve">MySmartPrice</t>
  </si>
  <si>
    <t xml:space="preserve">S14</t>
  </si>
  <si>
    <t xml:space="preserve">Smartprix</t>
  </si>
  <si>
    <t xml:space="preserve">S15</t>
  </si>
  <si>
    <t xml:space="preserve">Flipkart price/MRP/stock</t>
  </si>
  <si>
    <t xml:space="preserve">Stock varies</t>
  </si>
  <si>
    <t xml:space="preserve">S16</t>
  </si>
  <si>
    <t xml:space="preserve">Price history (6-Oct-2026 ₹33,999)</t>
  </si>
  <si>
    <t xml:space="preserve">pricehistory.app</t>
  </si>
  <si>
    <t xml:space="preserve">https://pricehistory.app/p/oppo-k13-turbo-pro-5g-midnight-maverick-Sq8Ehqmb</t>
  </si>
  <si>
    <t xml:space="preserve">Price tracker</t>
  </si>
  <si>
    <t xml:space="preserve">Tracker</t>
  </si>
  <si>
    <t xml:space="preserve">Variant labels unclear</t>
  </si>
  <si>
    <t xml:space="preserve">S17</t>
  </si>
  <si>
    <t xml:space="preserve">Benchmarks, PCMark battery, fan</t>
  </si>
  <si>
    <t xml:space="preserve">Digit</t>
  </si>
  <si>
    <t xml:space="preserve">S18</t>
  </si>
  <si>
    <t xml:space="preserve">Fan-off behaviour, GB6</t>
  </si>
  <si>
    <t xml:space="preserve">https://www.91mobiles.com/reviews/oppo-k13-turbo-pro-review/</t>
  </si>
  <si>
    <t xml:space="preserve">S19</t>
  </si>
  <si>
    <t xml:space="preserve">Official specs (weight 208 g)</t>
  </si>
  <si>
    <t xml:space="preserve">OPPO India</t>
  </si>
  <si>
    <t xml:space="preserve">https://www.oppo.com/in/smartphones/series-k/k13-turbo-pro/specs/</t>
  </si>
  <si>
    <t xml:space="preserve">S20</t>
  </si>
  <si>
    <t xml:space="preserve">Rating 4.4 (814)</t>
  </si>
  <si>
    <t xml:space="preserve">S21</t>
  </si>
  <si>
    <t xml:space="preserve">Flipkart ₹27,990</t>
  </si>
  <si>
    <t xml:space="preserve">S22</t>
  </si>
  <si>
    <t xml:space="preserve">Amazon ₹30,999 (10-Oct-2026)</t>
  </si>
  <si>
    <t xml:space="preserve">S23</t>
  </si>
  <si>
    <t xml:space="preserve">AnTuTu, gaming</t>
  </si>
  <si>
    <t xml:space="preserve">S24</t>
  </si>
  <si>
    <t xml:space="preserve">Review</t>
  </si>
  <si>
    <t xml:space="preserve">S25</t>
  </si>
  <si>
    <t xml:space="preserve">Rating 4.5 (14.2K)</t>
  </si>
  <si>
    <t xml:space="preserve">S26</t>
  </si>
  <si>
    <t xml:space="preserve">Reliance Digital ₹37,999 / MRP ₹42,999</t>
  </si>
  <si>
    <t xml:space="preserve">S27</t>
  </si>
  <si>
    <t xml:space="preserve">Amazon/Croma/Flipkart prices</t>
  </si>
  <si>
    <t xml:space="preserve">Snapshot (6-Oct-2026)</t>
  </si>
  <si>
    <t xml:space="preserve">S28</t>
  </si>
  <si>
    <t xml:space="preserve">Official page, AnTuTu claim</t>
  </si>
  <si>
    <t xml:space="preserve">realme India</t>
  </si>
  <si>
    <t xml:space="preserve">Claimed</t>
  </si>
  <si>
    <t xml:space="preserve">S29</t>
  </si>
  <si>
    <t xml:space="preserve">Geekbench 6 lab test</t>
  </si>
  <si>
    <t xml:space="preserve">Independent lab</t>
  </si>
  <si>
    <t xml:space="preserve">S30</t>
  </si>
  <si>
    <t xml:space="preserve">Security update end date 01-May-2031</t>
  </si>
  <si>
    <t xml:space="preserve">realme (PSTI)</t>
  </si>
  <si>
    <t xml:space="preserve">https://www.realme.com/uk/legal/psti</t>
  </si>
  <si>
    <t xml:space="preserve">UK legal page; India policy assumed equivalent</t>
  </si>
  <si>
    <t xml:space="preserve">S31</t>
  </si>
  <si>
    <t xml:space="preserve">Price Oct-2026</t>
  </si>
  <si>
    <t xml:space="preserve">Bajaj Finserv</t>
  </si>
  <si>
    <t xml:space="preserve">Retailer not named</t>
  </si>
  <si>
    <t xml:space="preserve">S32</t>
  </si>
  <si>
    <t xml:space="preserve">Out-of-stock status</t>
  </si>
  <si>
    <t xml:space="preserve">S33</t>
  </si>
  <si>
    <t xml:space="preserve">Review, AnTuTu</t>
  </si>
  <si>
    <t xml:space="preserve">S34</t>
  </si>
  <si>
    <t xml:space="preserve">Geekbench</t>
  </si>
  <si>
    <t xml:space="preserve">S35</t>
  </si>
  <si>
    <t xml:space="preserve">India launch &amp; specs</t>
  </si>
  <si>
    <t xml:space="preserve">https://gadgets.beebom.com/news/poco-x8-pro-launched-in-india-key-specifications-price-sale-date</t>
  </si>
  <si>
    <t xml:space="preserve">S36</t>
  </si>
  <si>
    <t xml:space="preserve">12/256 Flipkart ₹39,999</t>
  </si>
  <si>
    <t xml:space="preserve">Conflicting</t>
  </si>
  <si>
    <t xml:space="preserve">91mobiles shows ₹41,999</t>
  </si>
  <si>
    <t xml:space="preserve">S37</t>
  </si>
  <si>
    <t xml:space="preserve">12/256 ₹41,999–42,999</t>
  </si>
  <si>
    <t xml:space="preserve">S38</t>
  </si>
  <si>
    <t xml:space="preserve">Battery, charging, brightness lab tests</t>
  </si>
  <si>
    <t xml:space="preserve">https://www.gsmarena.com/poco_x8_pro-review-2946p3.php</t>
  </si>
  <si>
    <t xml:space="preserve">Global/EU unit</t>
  </si>
  <si>
    <t xml:space="preserve">S39</t>
  </si>
  <si>
    <t xml:space="preserve">NanoReview</t>
  </si>
  <si>
    <t xml:space="preserve">S40</t>
  </si>
  <si>
    <t xml:space="preserve">Flipkart rating 4.3 (2,816)</t>
  </si>
  <si>
    <t xml:space="preserve">8GB listing</t>
  </si>
  <si>
    <t xml:space="preserve">S41</t>
  </si>
  <si>
    <t xml:space="preserve">Flipkart 12/512 ₹38,990</t>
  </si>
  <si>
    <t xml:space="preserve">S42</t>
  </si>
  <si>
    <t xml:space="preserve">Launch &amp; specs</t>
  </si>
  <si>
    <t xml:space="preserve">FoneArena</t>
  </si>
  <si>
    <t xml:space="preserve">https://www.fonearena.com/blog/474388/redmi-note-15-pro-5g-price-india-specifications-redmi-note-15-pro-plus-5g.html</t>
  </si>
  <si>
    <t xml:space="preserve">S43</t>
  </si>
  <si>
    <t xml:space="preserve">Review 8.1/10, charging time</t>
  </si>
  <si>
    <t xml:space="preserve">S44</t>
  </si>
  <si>
    <t xml:space="preserve">AnTuTu/GB6 lab</t>
  </si>
  <si>
    <t xml:space="preserve">S45</t>
  </si>
  <si>
    <t xml:space="preserve">Software issues (ads/lag)</t>
  </si>
  <si>
    <t xml:space="preserve">https://www.smartprix.com/bytes/redmi-note-15-pro-review-a-lot-to-like-a-bit-to-fix/</t>
  </si>
  <si>
    <t xml:space="preserve">S46</t>
  </si>
  <si>
    <t xml:space="preserve">Price, specs</t>
  </si>
  <si>
    <t xml:space="preserve">S47</t>
  </si>
  <si>
    <t xml:space="preserve">Benchmarks &amp; review</t>
  </si>
  <si>
    <t xml:space="preserve">S48</t>
  </si>
  <si>
    <t xml:space="preserve">Review 8.5/10</t>
  </si>
  <si>
    <t xml:space="preserve">S49</t>
  </si>
  <si>
    <t xml:space="preserve">Official launch / bank offer</t>
  </si>
  <si>
    <t xml:space="preserve">vivo India Newsroom</t>
  </si>
  <si>
    <t xml:space="preserve">https://vivonewsroom.in/press-release/vivo-t5-pro-with-massive-9020-mah-battery-and-snapdragon-power-on-sale-with-exciting-launch-offers/</t>
  </si>
  <si>
    <t xml:space="preserve">Launch offer validity now unknown</t>
  </si>
  <si>
    <t xml:space="preserve">S50</t>
  </si>
  <si>
    <t xml:space="preserve">Motorola Edge 70 Pro</t>
  </si>
  <si>
    <t xml:space="preserve">Price table 14-Oct-2026</t>
  </si>
  <si>
    <t xml:space="preserve">Over budget</t>
  </si>
  <si>
    <t xml:space="preserve">S51</t>
  </si>
  <si>
    <t xml:space="preserve">S52</t>
  </si>
  <si>
    <t xml:space="preserve">Specs, charging, weight</t>
  </si>
  <si>
    <t xml:space="preserve">Gizmochina</t>
  </si>
  <si>
    <t xml:space="preserve">https://www.gizmochina.com/product/motorola-edge-70-pro-india/</t>
  </si>
  <si>
    <t xml:space="preserve">Spec database</t>
  </si>
  <si>
    <t xml:space="preserve">Camera count conflicts across sources</t>
  </si>
  <si>
    <t xml:space="preserve">S53</t>
  </si>
  <si>
    <t xml:space="preserve">Excluded models</t>
  </si>
  <si>
    <t xml:space="preserve">Nord 6 12/256 ₹46,999–50,999</t>
  </si>
  <si>
    <t xml:space="preserve">https://www.smartprix.com/mobiles/oneplus-nord-6-ppd1jshp0otr</t>
  </si>
  <si>
    <t xml:space="preserve">S54</t>
  </si>
  <si>
    <t xml:space="preserve">iQOO Neo 10 12/256 ₹46,999–48,999</t>
  </si>
  <si>
    <t xml:space="preserve">https://www.smartprix.com/mobiles/iqoo-neo-10-12gb-ram-256gb-ppd1ui06w7iv</t>
  </si>
  <si>
    <t xml:space="preserve">S55</t>
  </si>
  <si>
    <t xml:space="preserve">realme GT 7 12/256 ₹48,999</t>
  </si>
  <si>
    <t xml:space="preserve">https://www.flipkart.com/realme-gt-7-icesense-black-256-gb/p/itm6cc8f84d92e2f</t>
  </si>
  <si>
    <t xml:space="preserve">S56</t>
  </si>
  <si>
    <t xml:space="preserve">Redmi Turbo 5 12/256 ₹45,999+</t>
  </si>
  <si>
    <t xml:space="preserve">https://www.91mobiles.com/xiaomi-redmi-turbo-5-price-in-india</t>
  </si>
  <si>
    <t xml:space="preserve">S57</t>
  </si>
  <si>
    <t xml:space="preserve">Nothing Phone 4a 12/256 ₹44,400</t>
  </si>
  <si>
    <t xml:space="preserve">https://www.smartprix.com/mobiles/nothing-phone-4a-ppd1wt9hfgkb</t>
  </si>
  <si>
    <t xml:space="preserve">Over budget (launch ₹37,999)</t>
  </si>
  <si>
    <t xml:space="preserve">S58</t>
  </si>
  <si>
    <t xml:space="preserve">realme P4 Power – Dimensity 7400 Ultra</t>
  </si>
  <si>
    <t xml:space="preserve">https://www.realme.com/in/realme-p4-power-5g/specs</t>
  </si>
  <si>
    <t xml:space="preserve">CPU below baseline</t>
  </si>
  <si>
    <t xml:space="preserve">S59</t>
  </si>
  <si>
    <t xml:space="preserve">iQOO Neo 11 – no India launch</t>
  </si>
  <si>
    <t xml:space="preserve">Cashify</t>
  </si>
  <si>
    <t xml:space="preserve">https://www.cashify.in/iqoo-neo-11-price-in-india</t>
  </si>
  <si>
    <t xml:space="preserve">Not launched</t>
  </si>
  <si>
    <t xml:space="preserve">S60</t>
  </si>
  <si>
    <t xml:space="preserve">Market</t>
  </si>
  <si>
    <t xml:space="preserve">Under-₹40k shortlist Oct-2026</t>
  </si>
  <si>
    <t xml:space="preserve">https://gadgets.beebom.com/best-phones-under-40000</t>
  </si>
  <si>
    <t xml:space="preserve">Reference</t>
  </si>
  <si>
    <t xml:space="preserve">S61</t>
  </si>
  <si>
    <t xml:space="preserve">Chipsets</t>
  </si>
  <si>
    <t xml:space="preserve">SD 8s Gen 4 vs D8500 3DMark</t>
  </si>
  <si>
    <t xml:space="preserve">https://www.gizmochina.com/2026/06/06/snapdragon-8s-gen-4-vs-dimensity-8500-ultra-benchmark-score-spec-sheet-and-more/</t>
  </si>
  <si>
    <t xml:space="preserve">Benchmark article</t>
  </si>
  <si>
    <t xml:space="preserve">Measured (conflicting across sources)</t>
  </si>
  <si>
    <t xml:space="preserve">Final Rankings (eligible phones only – formula driven)</t>
  </si>
  <si>
    <t xml:space="preserve">Ranks update when you edit scores on the Scorecard. Ties are broken by Scorecard row order. Ineligible phones (over budget or &lt;12GB RAM) never appear here.</t>
  </si>
  <si>
    <t xml:space="preserve">OVERALL WINNER</t>
  </si>
  <si>
    <t xml:space="preserve">Category score</t>
  </si>
  <si>
    <t xml:space="preserve">Key reason / compromise</t>
  </si>
  <si>
    <t xml:space="preserve">Evidence</t>
  </si>
  <si>
    <t xml:space="preserve">Overall</t>
  </si>
  <si>
    <t xml:space="preserve">Best balance of speed, battery, charging, display and a verified price. Compromise: camera is only 'good'</t>
  </si>
  <si>
    <t xml:space="preserve">Sheets 4–7</t>
  </si>
  <si>
    <t xml:space="preserve">Processor</t>
  </si>
  <si>
    <t xml:space="preserve">Highest CPU/GPU benchmarks in the eligible set. K13 Turbo Pro: no ultrawide</t>
  </si>
  <si>
    <t xml:space="preserve">Processor &amp; Benchmarks</t>
  </si>
  <si>
    <t xml:space="preserve">Gaming (sustained)</t>
  </si>
  <si>
    <t xml:space="preserve">Active cooling fan holds frame rates (K13 Turbo Pro). Uses the same score column as processor</t>
  </si>
  <si>
    <t xml:space="preserve">Digit, 91mobiles fan-off test</t>
  </si>
  <si>
    <t xml:space="preserve">Review verdicts on main/ultrawide/selfie; no eligible phone has a telephoto</t>
  </si>
  <si>
    <t xml:space="preserve">GSMArena, 91mobiles, Smartprix</t>
  </si>
  <si>
    <t xml:space="preserve">Battery life &amp; charging</t>
  </si>
  <si>
    <t xml:space="preserve">Capacity + measured endurance + charge speed. For charging alone, GT 7T's 120W is fastest</t>
  </si>
  <si>
    <t xml:space="preserve">GSMArena, Digit, Beebom</t>
  </si>
  <si>
    <t xml:space="preserve">Brightness class + 144Hz; all are 1.5K AMOLED (close tie)</t>
  </si>
  <si>
    <t xml:space="preserve">Spec sheets, GSMArena lab</t>
  </si>
  <si>
    <t xml:space="preserve">Software support</t>
  </si>
  <si>
    <t xml:space="preserve">Longest published OS + security commitment</t>
  </si>
  <si>
    <t xml:space="preserve">Official policy / launch coverage</t>
  </si>
  <si>
    <t xml:space="preserve">IP69/69K rating, weight, glass</t>
  </si>
  <si>
    <t xml:space="preserve">Customer feedback</t>
  </si>
  <si>
    <t xml:space="preserve">Rating weighted by number of ratings</t>
  </si>
  <si>
    <t xml:space="preserve">Ratings &amp; Reviews</t>
  </si>
  <si>
    <t xml:space="preserve">Score per rupee at regular price</t>
  </si>
  <si>
    <t xml:space="preserve">Scorecard</t>
  </si>
  <si>
    <t xml:space="preserve">ANSWERS TO YOUR 10 QUESTIONS</t>
  </si>
  <si>
    <t xml:space="preserve">1. Best overall performance?</t>
  </si>
  <si>
    <t xml:space="preserve">realme GT 7T 12/256 (~₹37,999): best overall balance. For raw speed, the OPPO K13 Turbo Pro.</t>
  </si>
  <si>
    <t xml:space="preserve">2. Strongest processor &amp; GPU?</t>
  </si>
  <si>
    <t xml:space="preserve">OPPO K13 Turbo Pro (Snapdragon 8s Gen 4, AnTuTu ~2.0M, GB6 2152/6744). The POCO X8 Pro (Dimensity 8500-Ultra) is in the same tier.</t>
  </si>
  <si>
    <t xml:space="preserve">3. Best for demanding games / sustained loads?</t>
  </si>
  <si>
    <t xml:space="preserve">OPPO K13 Turbo Pro. Its active cooling fan keeps frame rates stable (91mobiles fan-off test).</t>
  </si>
  <si>
    <t xml:space="preserve">4. Best camera (eligible)?</t>
  </si>
  <si>
    <t xml:space="preserve">Redmi Note 15 Pro+ (200MP OIS, best daylight) or OnePlus Nord 5 (best main + selfie balance, if in stock). The out-of-budget Moto Edge 70 Pro beats both.</t>
  </si>
  <si>
    <t xml:space="preserve">5. Best battery life &amp; charging?</t>
  </si>
  <si>
    <t xml:space="preserve">Battery: vivo T5 Pro (9,020mAh). Charging: realme GT 7T (120W, ~40 min to full). Best combination: GT 7T.</t>
  </si>
  <si>
    <t xml:space="preserve">6. Best display?</t>
  </si>
  <si>
    <t xml:space="preserve">realme GT 7T (6,000-nit claimed peak, 1.5K) narrowly. All eligible phones use 1.5K AMOLED panels and score 12–13/15. POCO X8 Pro measured 3,638 nits on a 10% patch; vivo T5 Pro and Neo 10R add 144Hz.</t>
  </si>
  <si>
    <t xml:space="preserve">7. Longest verified software support?</t>
  </si>
  <si>
    <t xml:space="preserve">Redmi Note 15 Pro+ (4 OS + 6 yr from Jan-2026) and OnePlus Nord 5 (4 OS + 6 yr from Jul-2025). realme GT 7T security to May-2031.</t>
  </si>
  <si>
    <t xml:space="preserve">8. Best specs + reliability + price?</t>
  </si>
  <si>
    <t xml:space="preserve">realme GT 7T. Runner-up: iQOO Neo 10R (₹27,990–30,999, ~14K-rating base).</t>
  </si>
  <si>
    <t xml:space="preserve">9. Is the Nord CE6 still worth buying?</t>
  </si>
  <si>
    <t xml:space="preserve">Not at ₹35–37k. It fails your 12GB rule. Phones at the same price or ₹1–3k more give 1.5–1.8× the performance, an ultrawide camera and faster charging. Buy it only if 8,000mAh battery + IP69K + clean OxygenOS matter more than anything else.</t>
  </si>
  <si>
    <t xml:space="preserve">10. Single phone for long-term ownership ≤ ₹40k?</t>
  </si>
  <si>
    <t xml:space="preserve">realme GT 7T 12/256. It has security support to 01-May-2031, IP69, 7,000mAh/120W and a fast chip, and is sold at Reliance Digital stores across Tamil Nadu with a 1-year realme India warranty. If you value OS-version upgrades most, the Redmi Note 15 Pro+ has the longer promise but a slower chip.</t>
  </si>
</sst>
</file>

<file path=xl/styles.xml><?xml version="1.0" encoding="utf-8"?>
<styleSheet xmlns="http://schemas.openxmlformats.org/spreadsheetml/2006/main">
  <numFmts count="5">
    <numFmt numFmtId="164" formatCode="General"/>
    <numFmt numFmtId="165" formatCode="\₹#,##0"/>
    <numFmt numFmtId="166" formatCode="General"/>
    <numFmt numFmtId="167" formatCode="#,##0"/>
    <numFmt numFmtId="168" formatCode="0.00\×"/>
  </numFmts>
  <fonts count="15">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404040"/>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0563C1"/>
      <name val="Arial"/>
      <family val="0"/>
      <charset val="1"/>
    </font>
    <font>
      <b val="true"/>
      <sz val="11"/>
      <color rgb="FFFFFFFF"/>
      <name val="Arial"/>
      <family val="0"/>
      <charset val="1"/>
    </font>
    <font>
      <sz val="10"/>
      <color rgb="FF0000FF"/>
      <name val="Arial"/>
      <family val="0"/>
      <charset val="1"/>
    </font>
    <font>
      <sz val="8"/>
      <color rgb="FF808080"/>
      <name val="Arial"/>
      <family val="0"/>
      <charset val="1"/>
    </font>
    <font>
      <b val="true"/>
      <sz val="12"/>
      <name val="Arial"/>
      <family val="0"/>
      <charset val="1"/>
    </font>
    <font>
      <b val="true"/>
      <sz val="12"/>
      <color rgb="FF006100"/>
      <name val="Arial"/>
      <family val="0"/>
      <charset val="1"/>
    </font>
  </fonts>
  <fills count="11">
    <fill>
      <patternFill patternType="none"/>
    </fill>
    <fill>
      <patternFill patternType="gray125"/>
    </fill>
    <fill>
      <patternFill patternType="solid">
        <fgColor rgb="FF1F3864"/>
        <bgColor rgb="FF333399"/>
      </patternFill>
    </fill>
    <fill>
      <patternFill patternType="solid">
        <fgColor rgb="FFE2EFDA"/>
        <bgColor rgb="FFEDEDED"/>
      </patternFill>
    </fill>
    <fill>
      <patternFill patternType="solid">
        <fgColor rgb="FF2E75B6"/>
        <bgColor rgb="FF0563C1"/>
      </patternFill>
    </fill>
    <fill>
      <patternFill patternType="solid">
        <fgColor rgb="FFC6EFCE"/>
        <bgColor rgb="FFE2EFDA"/>
      </patternFill>
    </fill>
    <fill>
      <patternFill patternType="solid">
        <fgColor rgb="FFFFF2CC"/>
        <bgColor rgb="FFFCE4D6"/>
      </patternFill>
    </fill>
    <fill>
      <patternFill patternType="solid">
        <fgColor rgb="FFEDEDED"/>
        <bgColor rgb="FFE2EFDA"/>
      </patternFill>
    </fill>
    <fill>
      <patternFill patternType="solid">
        <fgColor rgb="FFFCE4D6"/>
        <bgColor rgb="FFFFF2CC"/>
      </patternFill>
    </fill>
    <fill>
      <patternFill patternType="solid">
        <fgColor rgb="FFFFC7CE"/>
        <bgColor rgb="FFFCE4D6"/>
      </patternFill>
    </fill>
    <fill>
      <patternFill patternType="solid">
        <fgColor rgb="FF5B9BD5"/>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top" textRotation="0" wrapText="tru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7" fillId="5" borderId="1" xfId="0" applyFont="true" applyBorder="true" applyAlignment="true" applyProtection="false">
      <alignment horizontal="center" vertical="top" textRotation="0" wrapText="true" indent="0" shrinkToFit="false"/>
      <protection locked="true" hidden="false"/>
    </xf>
    <xf numFmtId="166" fontId="7" fillId="5"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6" borderId="0"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9"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5" fontId="7" fillId="7" borderId="1" xfId="0" applyFont="true" applyBorder="true" applyAlignment="true" applyProtection="false">
      <alignment horizontal="general" vertical="top" textRotation="0" wrapText="true" indent="0" shrinkToFit="false"/>
      <protection locked="true" hidden="false"/>
    </xf>
    <xf numFmtId="165" fontId="7" fillId="8"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10" fillId="10" borderId="1" xfId="0" applyFont="true" applyBorder="true" applyAlignment="false" applyProtection="false">
      <alignment horizontal="general" vertical="bottom" textRotation="0" wrapText="false" indent="0" shrinkToFit="false"/>
      <protection locked="true" hidden="false"/>
    </xf>
    <xf numFmtId="164" fontId="0" fillId="10"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8" fontId="7" fillId="0"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7" fontId="7" fillId="7"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6" fontId="6" fillId="0" borderId="1" xfId="0" applyFont="true" applyBorder="true" applyAlignment="true" applyProtection="false">
      <alignment horizontal="center" vertical="top" textRotation="0" wrapText="tru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5" borderId="0"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2E75B6"/>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0563C1"/>
          <bgColor rgb="FF000000"/>
        </patternFill>
      </fill>
    </dxf>
    <dxf>
      <fill>
        <patternFill patternType="solid">
          <fgColor rgb="FFEDEDED"/>
          <bgColor rgb="FF000000"/>
        </patternFill>
      </fill>
    </dxf>
    <dxf>
      <fill>
        <patternFill patternType="solid">
          <fgColor rgb="FFFFC7CE"/>
          <bgColor rgb="FF000000"/>
        </patternFill>
      </fill>
    </dxf>
    <dxf>
      <fill>
        <patternFill patternType="solid">
          <fgColor rgb="FFFCE4D6"/>
          <bgColor rgb="FF000000"/>
        </patternFill>
      </fill>
    </dxf>
    <dxf>
      <fill>
        <patternFill>
          <bgColor rgb="FFFFC7CE"/>
        </patternFill>
      </fill>
    </dxf>
    <dxf>
      <fill>
        <patternFill>
          <bgColor rgb="FFC6EFCE"/>
        </patternFill>
      </fill>
    </dxf>
    <dxf>
      <fill>
        <patternFill patternType="solid">
          <fgColor rgb="FFC6EFCE"/>
          <bgColor rgb="FF000000"/>
        </patternFill>
      </fill>
    </dxf>
    <dxf>
      <font>
        <name val="Arial"/>
        <charset val="1"/>
        <family val="0"/>
        <b val="1"/>
      </font>
      <fill>
        <patternFill>
          <bgColor rgb="FFC6EFCE"/>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5B9BD5"/>
      <rgbColor rgb="FF993366"/>
      <rgbColor rgb="FFFFF2CC"/>
      <rgbColor rgb="FFE2EFDA"/>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DEDED"/>
      <rgbColor rgb="FFC6EFCE"/>
      <rgbColor rgb="FFFCE4D6"/>
      <rgbColor rgb="FF99CCFF"/>
      <rgbColor rgb="FFFF99CC"/>
      <rgbColor rgb="FFCC99FF"/>
      <rgbColor rgb="FFFFC7CE"/>
      <rgbColor rgb="FF2E75B6"/>
      <rgbColor rgb="FF33CCCC"/>
      <rgbColor rgb="FF99CC00"/>
      <rgbColor rgb="FFFFCC00"/>
      <rgbColor rgb="FFFF9900"/>
      <rgbColor rgb="FFFF6600"/>
      <rgbColor rgb="FF666699"/>
      <rgbColor rgb="FF969696"/>
      <rgbColor rgb="FF1F3864"/>
      <rgbColor rgb="FF00B050"/>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ables/table1.xml><?xml version="1.0" encoding="utf-8"?>
<table xmlns="http://schemas.openxmlformats.org/spreadsheetml/2006/main" id="1" name="tblBaseline" displayName="tblBaseline" ref="A4:D28" headerRowCount="1" totalsRowCount="0" totalsRowShown="0">
  <autoFilter ref="A4:D28"/>
  <tableColumns count="4">
    <tableColumn id="1" name="Attribute"/>
    <tableColumn id="2" name="Verified value"/>
    <tableColumn id="3" name="Status"/>
    <tableColumn id="4" name="Source"/>
  </tableColumns>
</table>
</file>

<file path=xl/tables/table2.xml><?xml version="1.0" encoding="utf-8"?>
<table xmlns="http://schemas.openxmlformats.org/spreadsheetml/2006/main" id="2" name="tblBench" displayName="tblBench" ref="A4:T13" headerRowCount="1" totalsRowCount="0" totalsRowShown="0">
  <autoFilter ref="A4:T13"/>
  <tableColumns count="20">
    <tableColumn id="1" name="Model"/>
    <tableColumn id="2" name="Chipset"/>
    <tableColumn id="3" name="Process"/>
    <tableColumn id="4" name="CPU configuration"/>
    <tableColumn id="5" name="GPU"/>
    <tableColumn id="6" name="AnTuTu total"/>
    <tableColumn id="7" name="AnTuTu version / basis"/>
    <tableColumn id="8" name="AnTuTu source"/>
    <tableColumn id="9" name="GB6 single"/>
    <tableColumn id="10" name="GB6 multi"/>
    <tableColumn id="11" name="Geekbench source"/>
    <tableColumn id="12" name="3DMark (Wild Life Extreme)"/>
    <tableColumn id="13" name="Status"/>
    <tableColumn id="14" name="Perf vs baseline (AnTuTu ×)"/>
    <tableColumn id="15" name="Sustained / thermals"/>
    <tableColumn id="16" name="Gaming (BGMI / CoD)"/>
    <tableColumn id="17" name="Battery drain under load"/>
    <tableColumn id="18" name="Everyday &amp; multitasking"/>
    <tableColumn id="19" name="Video"/>
    <tableColumn id="20" name="Perf rank (eligible)"/>
  </tableColumns>
</table>
</file>

<file path=xl/tables/table3.xml><?xml version="1.0" encoding="utf-8"?>
<table xmlns="http://schemas.openxmlformats.org/spreadsheetml/2006/main" id="3" name="tblProsCons" displayName="tblProsCons" ref="A4:I13" headerRowCount="1" totalsRowCount="0" totalsRowShown="0">
  <autoFilter ref="A4:I13"/>
  <tableColumns count="9">
    <tableColumn id="1" name="Model"/>
    <tableColumn id="2" name="Main advantages"/>
    <tableColumn id="3" name="Main disadvantages"/>
    <tableColumn id="4" name="Improvements over Nord CE6"/>
    <tableColumn id="5" name="Where the CE6 stays competitive"/>
    <tableColumn id="6" name="Best use case"/>
    <tableColumn id="7" name="Value assessment"/>
    <tableColumn id="8" name="Recommendation"/>
    <tableColumn id="9" name="Total score"/>
  </tableColumns>
</table>
</file>

<file path=xl/tables/table4.xml><?xml version="1.0" encoding="utf-8"?>
<table xmlns="http://schemas.openxmlformats.org/spreadsheetml/2006/main" id="4" name="tblRatings" displayName="tblRatings" ref="A4:P13" headerRowCount="1" totalsRowCount="0" totalsRowShown="0">
  <autoFilter ref="A4:P13"/>
  <tableColumns count="16">
    <tableColumn id="1" name="Model"/>
    <tableColumn id="2" name="Customer rating (/5)"/>
    <tableColumn id="3" name="No. of ratings"/>
    <tableColumn id="4" name="Platform"/>
    <tableColumn id="5" name="Date checked"/>
    <tableColumn id="6" name="Rating source link"/>
    <tableColumn id="7" name="Rating status"/>
    <tableColumn id="8" name="Expert score / verdict"/>
    <tableColumn id="9" name="Expert source"/>
    <tableColumn id="10" name="Praised"/>
    <tableColumn id="11" name="Complaints"/>
    <tableColumn id="12" name="Camera feedback"/>
    <tableColumn id="13" name="Battery / charging feedback"/>
    <tableColumn id="14" name="Gaming / heat feedback"/>
    <tableColumn id="15" name="Software feedback"/>
    <tableColumn id="16" name="Build feedback"/>
  </tableColumns>
</table>
</file>

<file path=xl/tables/table5.xml><?xml version="1.0" encoding="utf-8"?>
<table xmlns="http://schemas.openxmlformats.org/spreadsheetml/2006/main" id="5" name="tblRetail" displayName="tblRetail" ref="A4:O29" headerRowCount="1" totalsRowCount="0" totalsRowShown="0">
  <autoFilter ref="A4:O29"/>
  <tableColumns count="15">
    <tableColumn id="1" name="Model"/>
    <tableColumn id="2" name="Variant"/>
    <tableColumn id="3" name="Retailer"/>
    <tableColumn id="4" name="MRP (₹)"/>
    <tableColumn id="5" name="Listed price (₹)"/>
    <tableColumn id="6" name="Bank offer"/>
    <tableColumn id="7" name="Exchange offer"/>
    <tableColumn id="8" name="Coupon"/>
    <tableColumn id="9" name="Effective price after offer (₹)"/>
    <tableColumn id="10" name="Seller"/>
    <tableColumn id="11" name="Availability"/>
    <tableColumn id="12" name="Data status"/>
    <tableColumn id="13" name="Date/time checked"/>
    <tableColumn id="14" name="Link"/>
    <tableColumn id="15" name="Notes"/>
  </tableColumns>
</table>
</file>

<file path=xl/tables/table6.xml><?xml version="1.0" encoding="utf-8"?>
<table xmlns="http://schemas.openxmlformats.org/spreadsheetml/2006/main" id="6" name="tblScore" displayName="tblScore" ref="A4:X13" headerRowCount="1" totalsRowCount="0" totalsRowShown="0">
  <autoFilter ref="A4:X13"/>
  <tableColumns count="24">
    <tableColumn id="1" name="Key"/>
    <tableColumn id="2" name="Model"/>
    <tableColumn id="3" name="Variant"/>
    <tableColumn id="4" name="Release year"/>
    <tableColumn id="5" name="Chipset"/>
    <tableColumn id="6" name="Physical RAM (GB)"/>
    <tableColumn id="7" name="Regular price (₹)"/>
    <tableColumn id="8" name="Processor &amp; sustained (25)"/>
    <tableColumn id="9" name="Display (15)"/>
    <tableColumn id="10" name="Camera (15)"/>
    <tableColumn id="11" name="Battery &amp; charging (15)"/>
    <tableColumn id="12" name="Software &amp; UX (10)"/>
    <tableColumn id="13" name="Build &amp; durability (5)"/>
    <tableColumn id="14" name="Ratings &amp; reliability (5)"/>
    <tableColumn id="15" name="Value for money (10)"/>
    <tableColumn id="16" name="TOTAL (100)"/>
    <tableColumn id="17" name="Price ≤ ₹40k?"/>
    <tableColumn id="18" name="RAM ≥ 12GB?"/>
    <tableColumn id="19" name="CPU ≥ baseline?"/>
    <tableColumn id="20" name="ELIGIBLE?"/>
    <tableColumn id="21" name="Overall rank (eligible)"/>
    <tableColumn id="22" name="Δ price vs baseline (₹)"/>
    <tableColumn id="23" name="Best retailer link"/>
    <tableColumn id="24" name="Score justification"/>
  </tableColumns>
</table>
</file>

<file path=xl/tables/table7.xml><?xml version="1.0" encoding="utf-8"?>
<table xmlns="http://schemas.openxmlformats.org/spreadsheetml/2006/main" id="7" name="tblSources" displayName="tblSources" ref="A4:I65" headerRowCount="1" totalsRowCount="0" totalsRowShown="0">
  <autoFilter ref="A4:I65"/>
  <tableColumns count="9">
    <tableColumn id="1" name="Source ID"/>
    <tableColumn id="2" name="Phone model"/>
    <tableColumn id="3" name="Claim checked"/>
    <tableColumn id="4" name="Organisation"/>
    <tableColumn id="5" name="URL"/>
    <tableColumn id="6" name="Date checked"/>
    <tableColumn id="7" name="Category"/>
    <tableColumn id="8" name="Verification status"/>
    <tableColumn id="9" name="Notes / limitation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oneplus.com/global/nord-ce6/specs" TargetMode="External"/><Relationship Id="rId2" Type="http://schemas.openxmlformats.org/officeDocument/2006/relationships/hyperlink" Target="https://tech.sportskeeda.com/mobiles/oneplus-nord-ce6-series-launched-india-specs-features-price" TargetMode="External"/><Relationship Id="rId3" Type="http://schemas.openxmlformats.org/officeDocument/2006/relationships/hyperlink" Target="https://www.tech2.com/mobile/oneplus-nord-ce-6-and-nord-ce-6-lite-with-8000mah-battery-launched-in-india-price-specs-text-10080729.html" TargetMode="External"/><Relationship Id="rId4" Type="http://schemas.openxmlformats.org/officeDocument/2006/relationships/hyperlink" Target="https://www.mymobileindia.com/oneplus-nord-ce-6-gets-another-price-hike-in-india-now-costs-rs-4000-more-than-launch-price/" TargetMode="External"/><Relationship Id="rId5" Type="http://schemas.openxmlformats.org/officeDocument/2006/relationships/hyperlink" Target="https://www.amazon.in/OnePlus-Snapdragon-Segments-Fastest-Response/dp/B0GWLHVJRH" TargetMode="External"/><Relationship Id="rId6" Type="http://schemas.openxmlformats.org/officeDocument/2006/relationships/hyperlink" Target="https://www.mysmartprice.com/mobile/oneplus-nord-ce-6-5g-256gb-msp620884" TargetMode="External"/><Relationship Id="rId7" Type="http://schemas.openxmlformats.org/officeDocument/2006/relationships/hyperlink" Target="https://www.smartprix.com/mobiles/oneplus-nord-ce-6-5g-8gb-ram-256gb-ppd1d6l6a324" TargetMode="External"/><Relationship Id="rId8" Type="http://schemas.openxmlformats.org/officeDocument/2006/relationships/hyperlink" Target="https://www.digit.in/mobiles/oneplus-nord-ce-6.html" TargetMode="External"/><Relationship Id="rId9" Type="http://schemas.openxmlformats.org/officeDocument/2006/relationships/hyperlink" Target="https://gadgets.beebom.com/mobile/oneplus-nord-ce-6" TargetMode="External"/><Relationship Id="rId10" Type="http://schemas.openxmlformats.org/officeDocument/2006/relationships/hyperlink" Target="https://www.gsmarena.com/oneplus_nord_ce6_5g-14611.php" TargetMode="External"/><Relationship Id="rId11" Type="http://schemas.openxmlformats.org/officeDocument/2006/relationships/hyperlink" Target="https://www.gsmarena.com/oneplus_nord_ce6-review-2961p5.php" TargetMode="External"/><Relationship Id="rId12" Type="http://schemas.openxmlformats.org/officeDocument/2006/relationships/hyperlink" Target="https://www.91mobiles.com/hub/oneplus-nord-ce-6-ce-6-lite-launched-price-specifications-sale/" TargetMode="External"/><Relationship Id="rId13" Type="http://schemas.openxmlformats.org/officeDocument/2006/relationships/hyperlink" Target="https://www.gsmarena.com/compare.php3?idPhone1=14611" TargetMode="External"/><Relationship Id="rId14" Type="http://schemas.openxmlformats.org/officeDocument/2006/relationships/hyperlink" Target="https://gadgets.beebom.com/reviews/oneplus-nord-ce-6-review" TargetMode="External"/><Relationship Id="rId15" Type="http://schemas.openxmlformats.org/officeDocument/2006/relationships/hyperlink" Target="https://www.gsmarena.com/oneplus_nord_ce6-review-2961p4.php" TargetMode="External"/><Relationship Id="rId16" Type="http://schemas.openxmlformats.org/officeDocument/2006/relationships/hyperlink" Target="https://9to5google.com/2026/05/08/oneplus-software-updates-nord-ce6/" TargetMode="External"/><Relationship Id="rId17" Type="http://schemas.openxmlformats.org/officeDocument/2006/relationships/hyperlink" Target="https://www.91mobiles.com/hub/oneplus-nord-ce-6-ce-6-lite-launched-price-specifications-sale/" TargetMode="External"/><Relationship Id="rId18" Type="http://schemas.openxmlformats.org/officeDocument/2006/relationships/hyperlink" Target="https://www.gsmarena.com/oneplus_nord_ce6_5g-14611.php" TargetMode="External"/><Relationship Id="rId19" Type="http://schemas.openxmlformats.org/officeDocument/2006/relationships/hyperlink" Target="https://www.gsmarena.com/compare.php3?idPhone1=14611" TargetMode="External"/><Relationship Id="rId20" Type="http://schemas.openxmlformats.org/officeDocument/2006/relationships/hyperlink" Target="https://www.oneplus.com/global/nord-ce6/specs" TargetMode="External"/><Relationship Id="rId21" Type="http://schemas.openxmlformats.org/officeDocument/2006/relationships/hyperlink" Target="https://www.mobiledokan.com/review/oneplus-nord-ce6-full-review" TargetMode="External"/><Relationship Id="rId22" Type="http://schemas.openxmlformats.org/officeDocument/2006/relationships/hyperlink" Target="https://www.mysmartprice.com/mobile/oneplus-nord-ce-6-5g-256gb-msp620884" TargetMode="External"/><Relationship Id="rId23" Type="http://schemas.openxmlformats.org/officeDocument/2006/relationships/hyperlink" Target="https://www.oneplus.in/support" TargetMode="External"/><Relationship Id="rId24" Type="http://schemas.openxmlformats.org/officeDocument/2006/relationships/hyperlink" Target="https://www.smartprix.com/bytes/oneplus-nord-ce6-review-with-pros-and-cons/" TargetMode="External"/><Relationship Id="rId25"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hyperlink" Target="https://www.amazon.in/OnePlus-Snapdragon-Segments-Fastest-Response/dp/B0GWLHVJRH" TargetMode="External"/><Relationship Id="rId2" Type="http://schemas.openxmlformats.org/officeDocument/2006/relationships/hyperlink" Target="https://www.mysmartprice.com/mobile/oneplus-nord-ce-6-5g-256gb-msp620884" TargetMode="External"/><Relationship Id="rId3" Type="http://schemas.openxmlformats.org/officeDocument/2006/relationships/hyperlink" Target="https://www.flipkart.com/oneplus-nord-ce6-pitch-black-128-gb/p/itmd7b224b18cb05" TargetMode="External"/><Relationship Id="rId4" Type="http://schemas.openxmlformats.org/officeDocument/2006/relationships/hyperlink" Target="https://www.croma.com/" TargetMode="External"/><Relationship Id="rId5" Type="http://schemas.openxmlformats.org/officeDocument/2006/relationships/hyperlink" Target="https://www.reliancedigital.in/" TargetMode="External"/><Relationship Id="rId6" Type="http://schemas.openxmlformats.org/officeDocument/2006/relationships/hyperlink" Target="https://www.vijaysales.com/" TargetMode="External"/><Relationship Id="rId7" Type="http://schemas.openxmlformats.org/officeDocument/2006/relationships/hyperlink" Target="https://www.flipkart.com/oppo-k13-turbo-pro-5g-silver-knight-256-gb/p/itmeefeb718f01fe" TargetMode="External"/><Relationship Id="rId8" Type="http://schemas.openxmlformats.org/officeDocument/2006/relationships/hyperlink" Target="https://www.flipkart.com/search?q=oppo+k13+turbo+pro" TargetMode="External"/><Relationship Id="rId9" Type="http://schemas.openxmlformats.org/officeDocument/2006/relationships/hyperlink" Target="https://www.91mobiles.com/iqoo-neo-10r-price-in-india" TargetMode="External"/><Relationship Id="rId10" Type="http://schemas.openxmlformats.org/officeDocument/2006/relationships/hyperlink" Target="https://pricehistory.app/p/iqoo-neo-10r-5g-raging-blue-12gb-xlkyfzSj" TargetMode="External"/><Relationship Id="rId11" Type="http://schemas.openxmlformats.org/officeDocument/2006/relationships/hyperlink" Target="https://www.croma.com/" TargetMode="External"/><Relationship Id="rId12" Type="http://schemas.openxmlformats.org/officeDocument/2006/relationships/hyperlink" Target="https://www.reliancedigital.in/product/realme-gt-7t-5g-256-gb-12-gb-ram-blue-mobile-phone-mbgan1-9247285" TargetMode="External"/><Relationship Id="rId13" Type="http://schemas.openxmlformats.org/officeDocument/2006/relationships/hyperlink" Target="https://www.91mobiles.com/realme-gt-7t-price-in-india" TargetMode="External"/><Relationship Id="rId14" Type="http://schemas.openxmlformats.org/officeDocument/2006/relationships/hyperlink" Target="https://www.amazon.in/realme-IceSense-MediaTek-Strongest-Graphene/dp/B0F6YWDMXF" TargetMode="External"/><Relationship Id="rId15" Type="http://schemas.openxmlformats.org/officeDocument/2006/relationships/hyperlink" Target="https://www.smartprix.com/mobiles/realme-gt-7t-12gb-ram-256gb-ppd1gzorx7ts" TargetMode="External"/><Relationship Id="rId16" Type="http://schemas.openxmlformats.org/officeDocument/2006/relationships/hyperlink" Target="https://www.vijaysales.com/" TargetMode="External"/><Relationship Id="rId17" Type="http://schemas.openxmlformats.org/officeDocument/2006/relationships/hyperlink" Target="https://www.bajajfinserv.in/oneplus-nord-5-price-in-india" TargetMode="External"/><Relationship Id="rId18" Type="http://schemas.openxmlformats.org/officeDocument/2006/relationships/hyperlink" Target="https://www.amazon.in/oneplus-nord-5-12gb-256gb/s?k=oneplus+nord+5+12gb+256gb" TargetMode="External"/><Relationship Id="rId19" Type="http://schemas.openxmlformats.org/officeDocument/2006/relationships/hyperlink" Target="https://www.smartprix.com/mobiles/poco-x8-pro-5g-12gb-ram-256gb-ppd15mvem8mu" TargetMode="External"/><Relationship Id="rId20" Type="http://schemas.openxmlformats.org/officeDocument/2006/relationships/hyperlink" Target="https://www.91mobiles.com/poco-x8-pro-price-in-india" TargetMode="External"/><Relationship Id="rId21" Type="http://schemas.openxmlformats.org/officeDocument/2006/relationships/hyperlink" Target="https://www.flipkart.com/redmi-note-15-pro-5g-carbon-black-512-gb/p/itm3174106e5bf60" TargetMode="External"/><Relationship Id="rId22" Type="http://schemas.openxmlformats.org/officeDocument/2006/relationships/hyperlink" Target="https://www.91mobiles.com/xiaomi-redmi-note-15-pro-plus-price-in-india" TargetMode="External"/><Relationship Id="rId23" Type="http://schemas.openxmlformats.org/officeDocument/2006/relationships/hyperlink" Target="https://www.91mobiles.com/vivo-t5-pro-price-in-india" TargetMode="External"/><Relationship Id="rId24" Type="http://schemas.openxmlformats.org/officeDocument/2006/relationships/hyperlink" Target="https://www.91mobiles.com/motorola-edge-70-pro-5g-price-in-india" TargetMode="External"/><Relationship Id="rId25" Type="http://schemas.openxmlformats.org/officeDocument/2006/relationships/hyperlink" Target="https://www.91mobiles.com/motorola-edge-70-pro-5g-price-in-india" TargetMode="External"/><Relationship Id="rId26"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hyperlink" Target="https://www.mobiledokan.com/review/oneplus-nord-ce6-full-review" TargetMode="External"/><Relationship Id="rId2" Type="http://schemas.openxmlformats.org/officeDocument/2006/relationships/hyperlink" Target="https://www.91mobiles.com/hub/alleged-oneplus-nord-ce-6-geekbench-snapdragon-7s-gen-4/" TargetMode="External"/><Relationship Id="rId3" Type="http://schemas.openxmlformats.org/officeDocument/2006/relationships/hyperlink" Target="https://www.digit.in/reviews/mobile-phones/oppo-k13-turbo-pro-review-power-doesnt-quit-cooling-fan-or-not.html" TargetMode="External"/><Relationship Id="rId4" Type="http://schemas.openxmlformats.org/officeDocument/2006/relationships/hyperlink" Target="https://www.digit.in/reviews/mobile-phones/oppo-k13-turbo-pro-review-power-doesnt-quit-cooling-fan-or-not.html" TargetMode="External"/><Relationship Id="rId5" Type="http://schemas.openxmlformats.org/officeDocument/2006/relationships/hyperlink" Target="https://www.91mobiles.com/hub/iqoo-neo-10r-review/" TargetMode="External"/><Relationship Id="rId6" Type="http://schemas.openxmlformats.org/officeDocument/2006/relationships/hyperlink" Target="https://nanoreview.net/en/phone/vivo-iqoo-neo-7-pro" TargetMode="External"/><Relationship Id="rId7" Type="http://schemas.openxmlformats.org/officeDocument/2006/relationships/hyperlink" Target="https://www.realme.com/in/realme-gt-7t-5g" TargetMode="External"/><Relationship Id="rId8" Type="http://schemas.openxmlformats.org/officeDocument/2006/relationships/hyperlink" Target="https://www.mysmartprice.com/performance-test/realme-gt-7t-619909" TargetMode="External"/><Relationship Id="rId9" Type="http://schemas.openxmlformats.org/officeDocument/2006/relationships/hyperlink" Target="https://www.91mobiles.com/reviews/oneplus-nord-5-review/" TargetMode="External"/><Relationship Id="rId10" Type="http://schemas.openxmlformats.org/officeDocument/2006/relationships/hyperlink" Target="https://www.mysmartprice.com/mobile/oneplus-nord-5-msp22894/benchmark-scores" TargetMode="External"/><Relationship Id="rId11" Type="http://schemas.openxmlformats.org/officeDocument/2006/relationships/hyperlink" Target="https://nanoreview.net/en/phone/xiaomi-poco-x8-pro" TargetMode="External"/><Relationship Id="rId12" Type="http://schemas.openxmlformats.org/officeDocument/2006/relationships/hyperlink" Target="https://nanoreview.net/en/phone/xiaomi-poco-x8-pro" TargetMode="External"/><Relationship Id="rId13" Type="http://schemas.openxmlformats.org/officeDocument/2006/relationships/hyperlink" Target="https://www.mysmartprice.com/performance-test/xiaomi-redmi-note-15-pro-plus-23455" TargetMode="External"/><Relationship Id="rId14" Type="http://schemas.openxmlformats.org/officeDocument/2006/relationships/hyperlink" Target="https://www.mysmartprice.com/performance-test/xiaomi-redmi-note-15-pro-plus-23455" TargetMode="External"/><Relationship Id="rId15" Type="http://schemas.openxmlformats.org/officeDocument/2006/relationships/hyperlink" Target="https://www.digit.in/reviews/mobile-phones/vivo-t5-pro-review-9020mah-big-battery-for-rs-30000-but-what-is-the-catch.html" TargetMode="External"/><Relationship Id="rId16" Type="http://schemas.openxmlformats.org/officeDocument/2006/relationships/hyperlink" Target="https://www.digit.in/reviews/mobile-phones/vivo-t5-pro-review-9020mah-big-battery-for-rs-30000-but-what-is-the-catch.html" TargetMode="External"/><Relationship Id="rId17" Type="http://schemas.openxmlformats.org/officeDocument/2006/relationships/hyperlink" Target="https://www.digit.in/reviews/mobile-phones/motorola-edge-70-pro-review-one-of-the-most-complete-phones-you-can-buy-but.html" TargetMode="External"/><Relationship Id="rId18"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hyperlink" Target="https://www.mysmartprice.com/mobile/oneplus-nord-ce-6-5g-256gb-msp620884" TargetMode="External"/><Relationship Id="rId2" Type="http://schemas.openxmlformats.org/officeDocument/2006/relationships/hyperlink" Target="https://www.smartprix.com/bytes/oneplus-nord-ce6-review-with-pros-and-cons/" TargetMode="External"/><Relationship Id="rId3" Type="http://schemas.openxmlformats.org/officeDocument/2006/relationships/hyperlink" Target="https://www.mysmartprice.com/mobile/oppo-k13-turbo-pro-12gb-msp620188" TargetMode="External"/><Relationship Id="rId4" Type="http://schemas.openxmlformats.org/officeDocument/2006/relationships/hyperlink" Target="https://www.digit.in/reviews/mobile-phones/oppo-k13-turbo-pro-review-power-doesnt-quit-cooling-fan-or-not.html" TargetMode="External"/><Relationship Id="rId5" Type="http://schemas.openxmlformats.org/officeDocument/2006/relationships/hyperlink" Target="https://www.mysmartprice.com/mobile/iqoo-neo-10r-msp619551" TargetMode="External"/><Relationship Id="rId6" Type="http://schemas.openxmlformats.org/officeDocument/2006/relationships/hyperlink" Target="https://www.digit.in/reviews/mobile-phones/iqoo-neo-10r-review-the-gaming-phone-you-were-waiting-for.html" TargetMode="External"/><Relationship Id="rId7" Type="http://schemas.openxmlformats.org/officeDocument/2006/relationships/hyperlink" Target="https://www.91mobiles.com/realme-gt-7t-price-in-india" TargetMode="External"/><Relationship Id="rId8" Type="http://schemas.openxmlformats.org/officeDocument/2006/relationships/hyperlink" Target="https://nanoreview.net/en/phone/realme-gt-7t" TargetMode="External"/><Relationship Id="rId9" Type="http://schemas.openxmlformats.org/officeDocument/2006/relationships/hyperlink" Target="https://www.smartprix.com/mobiles/oneplus-nord-5-12gb-ram-256gb-ppd1b9svl1s7" TargetMode="External"/><Relationship Id="rId10" Type="http://schemas.openxmlformats.org/officeDocument/2006/relationships/hyperlink" Target="https://www.fonearena.com/blog/458245/oneplus-nord-5-review.html" TargetMode="External"/><Relationship Id="rId11" Type="http://schemas.openxmlformats.org/officeDocument/2006/relationships/hyperlink" Target="https://www.flipkart.com/poco-x8-pro-white-256-gb/p/itmaa692ca8a3b36" TargetMode="External"/><Relationship Id="rId12" Type="http://schemas.openxmlformats.org/officeDocument/2006/relationships/hyperlink" Target="https://www.gsmarena.com/poco_x8_pro-review-2946p6.php" TargetMode="External"/><Relationship Id="rId13" Type="http://schemas.openxmlformats.org/officeDocument/2006/relationships/hyperlink" Target="https://www.91mobiles.com/xiaomi-redmi-note-15-pro-plus-price-in-india" TargetMode="External"/><Relationship Id="rId14" Type="http://schemas.openxmlformats.org/officeDocument/2006/relationships/hyperlink" Target="https://www.91mobiles.com/reviews/redmi-note-15-pro-plus-review/" TargetMode="External"/><Relationship Id="rId15" Type="http://schemas.openxmlformats.org/officeDocument/2006/relationships/hyperlink" Target="https://www.91mobiles.com/vivo-t5-pro-price-in-india" TargetMode="External"/><Relationship Id="rId16" Type="http://schemas.openxmlformats.org/officeDocument/2006/relationships/hyperlink" Target="https://gadgets.beebom.com/reviews/vivo-t5-pro-review" TargetMode="External"/><Relationship Id="rId17" Type="http://schemas.openxmlformats.org/officeDocument/2006/relationships/hyperlink" Target="https://www.flipkart.com/motorola-edge-70-pro/p/itm70caeee0ca941" TargetMode="External"/><Relationship Id="rId18" Type="http://schemas.openxmlformats.org/officeDocument/2006/relationships/hyperlink" Target="https://www.digit.in/reviews/mobile-phones/motorola-edge-70-pro-review-one-of-the-most-complete-phones-you-can-buy-but.html" TargetMode="External"/><Relationship Id="rId19"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table" Target="../tables/table6.xml"/>
</Relationships>
</file>

<file path=xl/worksheets/_rels/sheet8.xml.rels><?xml version="1.0" encoding="UTF-8"?>
<Relationships xmlns="http://schemas.openxmlformats.org/package/2006/relationships"><Relationship Id="rId1" Type="http://schemas.openxmlformats.org/officeDocument/2006/relationships/table" Target="../tables/table3.xml"/>
</Relationships>
</file>

<file path=xl/worksheets/_rels/sheet9.xml.rels><?xml version="1.0" encoding="UTF-8"?>
<Relationships xmlns="http://schemas.openxmlformats.org/package/2006/relationships"><Relationship Id="rId1" Type="http://schemas.openxmlformats.org/officeDocument/2006/relationships/hyperlink" Target="https://www.oneplus.com/global/nord-ce6/specs" TargetMode="External"/><Relationship Id="rId2" Type="http://schemas.openxmlformats.org/officeDocument/2006/relationships/hyperlink" Target="https://www.91mobiles.com/hub/oneplus-nord-ce-6-ce-6-lite-launched-price-specifications-sale/" TargetMode="External"/><Relationship Id="rId3" Type="http://schemas.openxmlformats.org/officeDocument/2006/relationships/hyperlink" Target="https://tech.sportskeeda.com/mobiles/oneplus-nord-ce6-series-launched-india-specs-features-price" TargetMode="External"/><Relationship Id="rId4" Type="http://schemas.openxmlformats.org/officeDocument/2006/relationships/hyperlink" Target="https://www.mymobileindia.com/oneplus-nord-ce-6-gets-another-price-hike-in-india-now-costs-rs-4000-more-than-launch-price/" TargetMode="External"/><Relationship Id="rId5" Type="http://schemas.openxmlformats.org/officeDocument/2006/relationships/hyperlink" Target="https://www.amazon.in/OnePlus-Snapdragon-Segments-Fastest-Response/dp/B0GWLHVJRH" TargetMode="External"/><Relationship Id="rId6" Type="http://schemas.openxmlformats.org/officeDocument/2006/relationships/hyperlink" Target="https://www.flipkart.com/oneplus-nord-ce6-pitch-black-128-gb/p/itmd7b224b18cb05" TargetMode="External"/><Relationship Id="rId7" Type="http://schemas.openxmlformats.org/officeDocument/2006/relationships/hyperlink" Target="https://www.gsmarena.com/oneplus_nord_ce6_5g-14611.php" TargetMode="External"/><Relationship Id="rId8" Type="http://schemas.openxmlformats.org/officeDocument/2006/relationships/hyperlink" Target="https://www.gsmarena.com/oneplus_nord_ce6-review-2961p5.php" TargetMode="External"/><Relationship Id="rId9" Type="http://schemas.openxmlformats.org/officeDocument/2006/relationships/hyperlink" Target="https://9to5google.com/2026/05/08/oneplus-software-updates-nord-ce6/" TargetMode="External"/><Relationship Id="rId10" Type="http://schemas.openxmlformats.org/officeDocument/2006/relationships/hyperlink" Target="https://gadgets.beebom.com/reviews/oneplus-nord-ce-6-review" TargetMode="External"/><Relationship Id="rId11" Type="http://schemas.openxmlformats.org/officeDocument/2006/relationships/hyperlink" Target="https://www.mobiledokan.com/review/oneplus-nord-ce6-full-review" TargetMode="External"/><Relationship Id="rId12" Type="http://schemas.openxmlformats.org/officeDocument/2006/relationships/hyperlink" Target="https://www.91mobiles.com/hub/alleged-oneplus-nord-ce-6-geekbench-snapdragon-7s-gen-4/" TargetMode="External"/><Relationship Id="rId13" Type="http://schemas.openxmlformats.org/officeDocument/2006/relationships/hyperlink" Target="https://www.mysmartprice.com/mobile/oneplus-nord-ce-6-5g-256gb-msp620884" TargetMode="External"/><Relationship Id="rId14" Type="http://schemas.openxmlformats.org/officeDocument/2006/relationships/hyperlink" Target="https://www.smartprix.com/bytes/oneplus-nord-ce6-review-with-pros-and-cons/" TargetMode="External"/><Relationship Id="rId15" Type="http://schemas.openxmlformats.org/officeDocument/2006/relationships/hyperlink" Target="https://www.flipkart.com/oppo-k13-turbo-pro-5g-silver-knight-256-gb/p/itmeefeb718f01fe" TargetMode="External"/><Relationship Id="rId16" Type="http://schemas.openxmlformats.org/officeDocument/2006/relationships/hyperlink" Target="https://pricehistory.app/p/oppo-k13-turbo-pro-5g-midnight-maverick-Sq8Ehqmb" TargetMode="External"/><Relationship Id="rId17" Type="http://schemas.openxmlformats.org/officeDocument/2006/relationships/hyperlink" Target="https://www.digit.in/reviews/mobile-phones/oppo-k13-turbo-pro-review-power-doesnt-quit-cooling-fan-or-not.html" TargetMode="External"/><Relationship Id="rId18" Type="http://schemas.openxmlformats.org/officeDocument/2006/relationships/hyperlink" Target="https://www.91mobiles.com/reviews/oppo-k13-turbo-pro-review/" TargetMode="External"/><Relationship Id="rId19" Type="http://schemas.openxmlformats.org/officeDocument/2006/relationships/hyperlink" Target="https://www.oppo.com/in/smartphones/series-k/k13-turbo-pro/specs/" TargetMode="External"/><Relationship Id="rId20" Type="http://schemas.openxmlformats.org/officeDocument/2006/relationships/hyperlink" Target="https://www.mysmartprice.com/mobile/oppo-k13-turbo-pro-12gb-msp620188" TargetMode="External"/><Relationship Id="rId21" Type="http://schemas.openxmlformats.org/officeDocument/2006/relationships/hyperlink" Target="https://www.91mobiles.com/iqoo-neo-10r-price-in-india" TargetMode="External"/><Relationship Id="rId22" Type="http://schemas.openxmlformats.org/officeDocument/2006/relationships/hyperlink" Target="https://pricehistory.app/p/iqoo-neo-10r-5g-raging-blue-12gb-xlkyfzSj" TargetMode="External"/><Relationship Id="rId23" Type="http://schemas.openxmlformats.org/officeDocument/2006/relationships/hyperlink" Target="https://www.91mobiles.com/hub/iqoo-neo-10r-review/" TargetMode="External"/><Relationship Id="rId24" Type="http://schemas.openxmlformats.org/officeDocument/2006/relationships/hyperlink" Target="https://www.digit.in/reviews/mobile-phones/iqoo-neo-10r-review-the-gaming-phone-you-were-waiting-for.html" TargetMode="External"/><Relationship Id="rId25" Type="http://schemas.openxmlformats.org/officeDocument/2006/relationships/hyperlink" Target="https://www.mysmartprice.com/mobile/iqoo-neo-10r-msp619551" TargetMode="External"/><Relationship Id="rId26" Type="http://schemas.openxmlformats.org/officeDocument/2006/relationships/hyperlink" Target="https://www.reliancedigital.in/product/realme-gt-7t-5g-256-gb-12-gb-ram-blue-mobile-phone-mbgan1-9247285" TargetMode="External"/><Relationship Id="rId27" Type="http://schemas.openxmlformats.org/officeDocument/2006/relationships/hyperlink" Target="https://www.smartprix.com/mobiles/realme-gt-7t-12gb-ram-256gb-ppd1gzorx7ts" TargetMode="External"/><Relationship Id="rId28" Type="http://schemas.openxmlformats.org/officeDocument/2006/relationships/hyperlink" Target="https://www.realme.com/in/realme-gt-7t-5g" TargetMode="External"/><Relationship Id="rId29" Type="http://schemas.openxmlformats.org/officeDocument/2006/relationships/hyperlink" Target="https://www.mysmartprice.com/performance-test/realme-gt-7t-619909" TargetMode="External"/><Relationship Id="rId30" Type="http://schemas.openxmlformats.org/officeDocument/2006/relationships/hyperlink" Target="https://www.realme.com/uk/legal/psti" TargetMode="External"/><Relationship Id="rId31" Type="http://schemas.openxmlformats.org/officeDocument/2006/relationships/hyperlink" Target="https://www.bajajfinserv.in/oneplus-nord-5-price-in-india" TargetMode="External"/><Relationship Id="rId32" Type="http://schemas.openxmlformats.org/officeDocument/2006/relationships/hyperlink" Target="https://www.smartprix.com/mobiles/oneplus-nord-5-12gb-ram-256gb-ppd1b9svl1s7" TargetMode="External"/><Relationship Id="rId33" Type="http://schemas.openxmlformats.org/officeDocument/2006/relationships/hyperlink" Target="https://www.91mobiles.com/reviews/oneplus-nord-5-review/" TargetMode="External"/><Relationship Id="rId34" Type="http://schemas.openxmlformats.org/officeDocument/2006/relationships/hyperlink" Target="https://www.mysmartprice.com/mobile/oneplus-nord-5-msp22894/benchmark-scores" TargetMode="External"/><Relationship Id="rId35" Type="http://schemas.openxmlformats.org/officeDocument/2006/relationships/hyperlink" Target="https://gadgets.beebom.com/news/poco-x8-pro-launched-in-india-key-specifications-price-sale-date" TargetMode="External"/><Relationship Id="rId36" Type="http://schemas.openxmlformats.org/officeDocument/2006/relationships/hyperlink" Target="https://www.smartprix.com/mobiles/poco-x8-pro-5g-12gb-ram-256gb-ppd15mvem8mu" TargetMode="External"/><Relationship Id="rId37" Type="http://schemas.openxmlformats.org/officeDocument/2006/relationships/hyperlink" Target="https://www.91mobiles.com/poco-x8-pro-price-in-india" TargetMode="External"/><Relationship Id="rId38" Type="http://schemas.openxmlformats.org/officeDocument/2006/relationships/hyperlink" Target="https://www.gsmarena.com/poco_x8_pro-review-2946p3.php" TargetMode="External"/><Relationship Id="rId39" Type="http://schemas.openxmlformats.org/officeDocument/2006/relationships/hyperlink" Target="https://nanoreview.net/en/phone/xiaomi-poco-x8-pro" TargetMode="External"/><Relationship Id="rId40" Type="http://schemas.openxmlformats.org/officeDocument/2006/relationships/hyperlink" Target="https://www.flipkart.com/poco-x8-pro-white-256-gb/p/itmaa692ca8a3b36" TargetMode="External"/><Relationship Id="rId41" Type="http://schemas.openxmlformats.org/officeDocument/2006/relationships/hyperlink" Target="https://www.flipkart.com/redmi-note-15-pro-5g-carbon-black-512-gb/p/itm3174106e5bf60" TargetMode="External"/><Relationship Id="rId42" Type="http://schemas.openxmlformats.org/officeDocument/2006/relationships/hyperlink" Target="https://www.fonearena.com/blog/474388/redmi-note-15-pro-5g-price-india-specifications-redmi-note-15-pro-plus-5g.html" TargetMode="External"/><Relationship Id="rId43" Type="http://schemas.openxmlformats.org/officeDocument/2006/relationships/hyperlink" Target="https://www.91mobiles.com/reviews/redmi-note-15-pro-plus-review/" TargetMode="External"/><Relationship Id="rId44" Type="http://schemas.openxmlformats.org/officeDocument/2006/relationships/hyperlink" Target="https://www.mysmartprice.com/performance-test/xiaomi-redmi-note-15-pro-plus-23455" TargetMode="External"/><Relationship Id="rId45" Type="http://schemas.openxmlformats.org/officeDocument/2006/relationships/hyperlink" Target="https://www.smartprix.com/bytes/redmi-note-15-pro-review-a-lot-to-like-a-bit-to-fix/" TargetMode="External"/><Relationship Id="rId46" Type="http://schemas.openxmlformats.org/officeDocument/2006/relationships/hyperlink" Target="https://www.91mobiles.com/vivo-t5-pro-price-in-india" TargetMode="External"/><Relationship Id="rId47" Type="http://schemas.openxmlformats.org/officeDocument/2006/relationships/hyperlink" Target="https://www.digit.in/reviews/mobile-phones/vivo-t5-pro-review-9020mah-big-battery-for-rs-30000-but-what-is-the-catch.html" TargetMode="External"/><Relationship Id="rId48" Type="http://schemas.openxmlformats.org/officeDocument/2006/relationships/hyperlink" Target="https://gadgets.beebom.com/reviews/vivo-t5-pro-review" TargetMode="External"/><Relationship Id="rId49" Type="http://schemas.openxmlformats.org/officeDocument/2006/relationships/hyperlink" Target="https://vivonewsroom.in/press-release/vivo-t5-pro-with-massive-9020-mah-battery-and-snapdragon-power-on-sale-with-exciting-launch-offers/" TargetMode="External"/><Relationship Id="rId50" Type="http://schemas.openxmlformats.org/officeDocument/2006/relationships/hyperlink" Target="https://www.91mobiles.com/motorola-edge-70-pro-5g-price-in-india" TargetMode="External"/><Relationship Id="rId51" Type="http://schemas.openxmlformats.org/officeDocument/2006/relationships/hyperlink" Target="https://www.digit.in/reviews/mobile-phones/motorola-edge-70-pro-review-one-of-the-most-complete-phones-you-can-buy-but.html" TargetMode="External"/><Relationship Id="rId52" Type="http://schemas.openxmlformats.org/officeDocument/2006/relationships/hyperlink" Target="https://www.gizmochina.com/product/motorola-edge-70-pro-india/" TargetMode="External"/><Relationship Id="rId53" Type="http://schemas.openxmlformats.org/officeDocument/2006/relationships/hyperlink" Target="https://www.smartprix.com/mobiles/oneplus-nord-6-ppd1jshp0otr" TargetMode="External"/><Relationship Id="rId54" Type="http://schemas.openxmlformats.org/officeDocument/2006/relationships/hyperlink" Target="https://www.smartprix.com/mobiles/iqoo-neo-10-12gb-ram-256gb-ppd1ui06w7iv" TargetMode="External"/><Relationship Id="rId55" Type="http://schemas.openxmlformats.org/officeDocument/2006/relationships/hyperlink" Target="https://www.flipkart.com/realme-gt-7-icesense-black-256-gb/p/itm6cc8f84d92e2f" TargetMode="External"/><Relationship Id="rId56" Type="http://schemas.openxmlformats.org/officeDocument/2006/relationships/hyperlink" Target="https://www.91mobiles.com/xiaomi-redmi-turbo-5-price-in-india" TargetMode="External"/><Relationship Id="rId57" Type="http://schemas.openxmlformats.org/officeDocument/2006/relationships/hyperlink" Target="https://www.smartprix.com/mobiles/nothing-phone-4a-ppd1wt9hfgkb" TargetMode="External"/><Relationship Id="rId58" Type="http://schemas.openxmlformats.org/officeDocument/2006/relationships/hyperlink" Target="https://www.realme.com/in/realme-p4-power-5g/specs" TargetMode="External"/><Relationship Id="rId59" Type="http://schemas.openxmlformats.org/officeDocument/2006/relationships/hyperlink" Target="https://www.cashify.in/iqoo-neo-11-price-in-india" TargetMode="External"/><Relationship Id="rId60" Type="http://schemas.openxmlformats.org/officeDocument/2006/relationships/hyperlink" Target="https://gadgets.beebom.com/best-phones-under-40000" TargetMode="External"/><Relationship Id="rId61" Type="http://schemas.openxmlformats.org/officeDocument/2006/relationships/hyperlink" Target="https://www.gizmochina.com/2026/06/06/snapdragon-8s-gen-4-vs-dimensity-8500-ultra-benchmark-score-spec-sheet-and-more/" TargetMode="External"/><Relationship Id="rId62" Type="http://schemas.openxmlformats.org/officeDocument/2006/relationships/table" Target="../tables/table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true"/>
  </sheetPr>
  <dimension ref="A1:F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8"/>
    <col collapsed="false" customWidth="true" hidden="false" outlineLevel="0" max="5" min="3" style="0" width="16"/>
    <col collapsed="false" customWidth="true" hidden="false" outlineLevel="0" max="6" min="6" style="0" width="26"/>
  </cols>
  <sheetData>
    <row r="1" customFormat="false" ht="30" hidden="false" customHeight="true" outlineLevel="0" collapsed="false">
      <c r="A1" s="1" t="s">
        <v>0</v>
      </c>
      <c r="B1" s="1"/>
      <c r="C1" s="1"/>
      <c r="D1" s="1"/>
      <c r="E1" s="1"/>
      <c r="F1" s="1"/>
    </row>
    <row r="2" customFormat="false" ht="42" hidden="false" customHeight="true" outlineLevel="0" collapsed="false">
      <c r="A2" s="2" t="s">
        <v>1</v>
      </c>
      <c r="B2" s="2"/>
      <c r="C2" s="2"/>
      <c r="D2" s="2"/>
      <c r="E2" s="2"/>
      <c r="F2" s="2"/>
    </row>
    <row r="4" customFormat="false" ht="15" hidden="false" customHeight="false" outlineLevel="0" collapsed="false">
      <c r="A4" s="3" t="s">
        <v>2</v>
      </c>
    </row>
    <row r="5" customFormat="false" ht="57.75" hidden="false" customHeight="true" outlineLevel="0" collapsed="false">
      <c r="A5" s="4" t="s">
        <v>3</v>
      </c>
      <c r="B5" s="4"/>
      <c r="C5" s="4"/>
      <c r="D5" s="4"/>
      <c r="E5" s="4"/>
      <c r="F5" s="4"/>
    </row>
    <row r="7" customFormat="false" ht="31.5" hidden="false" customHeight="true" outlineLevel="0" collapsed="false">
      <c r="A7" s="5" t="s">
        <v>4</v>
      </c>
      <c r="B7" s="5" t="s">
        <v>5</v>
      </c>
      <c r="C7" s="5" t="s">
        <v>6</v>
      </c>
      <c r="D7" s="5" t="s">
        <v>7</v>
      </c>
      <c r="E7" s="5" t="s">
        <v>8</v>
      </c>
      <c r="F7" s="5" t="s">
        <v>9</v>
      </c>
    </row>
    <row r="8" customFormat="false" ht="15" hidden="false" customHeight="false" outlineLevel="0" collapsed="false">
      <c r="A8" s="6" t="s">
        <v>10</v>
      </c>
      <c r="B8" s="7" t="str">
        <f aca="false">Scorecard!D18</f>
        <v>realme GT 7T 5G</v>
      </c>
      <c r="C8" s="7" t="str">
        <f aca="false">Scorecard!E18</f>
        <v>12GB + 256GB</v>
      </c>
      <c r="D8" s="8" t="n">
        <f aca="false">Scorecard!F18</f>
        <v>37999</v>
      </c>
      <c r="E8" s="9" t="n">
        <f aca="false">Scorecard!C18</f>
        <v>81</v>
      </c>
      <c r="F8" s="10" t="str">
        <f aca="false">INDEX(Scorecard!$W$5:$W$13,MATCH(B8,Scorecard!$B$5:$B$13,0))</f>
        <v>Open listing / source</v>
      </c>
    </row>
    <row r="9" customFormat="false" ht="15" hidden="false" customHeight="false" outlineLevel="0" collapsed="false">
      <c r="A9" s="11" t="s">
        <v>11</v>
      </c>
      <c r="B9" s="12" t="str">
        <f aca="false">Scorecard!D19</f>
        <v>OPPO K13 Turbo Pro 5G</v>
      </c>
      <c r="C9" s="12" t="str">
        <f aca="false">Scorecard!E19</f>
        <v>12GB + 256GB</v>
      </c>
      <c r="D9" s="13" t="n">
        <f aca="false">Scorecard!F19</f>
        <v>33999</v>
      </c>
      <c r="E9" s="14" t="n">
        <f aca="false">Scorecard!C19</f>
        <v>24</v>
      </c>
      <c r="F9" s="15" t="str">
        <f aca="false">INDEX(Scorecard!$W$5:$W$13,MATCH(B9,Scorecard!$B$5:$B$13,0))</f>
        <v>Open listing / source</v>
      </c>
    </row>
    <row r="10" customFormat="false" ht="15" hidden="false" customHeight="false" outlineLevel="0" collapsed="false">
      <c r="A10" s="11" t="s">
        <v>12</v>
      </c>
      <c r="B10" s="12" t="str">
        <f aca="false">Scorecard!D21</f>
        <v>Redmi Note 15 Pro+ 5G</v>
      </c>
      <c r="C10" s="12" t="str">
        <f aca="false">Scorecard!E21</f>
        <v>12GB + 512GB</v>
      </c>
      <c r="D10" s="13" t="n">
        <f aca="false">Scorecard!F21</f>
        <v>38990</v>
      </c>
      <c r="E10" s="14" t="n">
        <f aca="false">Scorecard!C21</f>
        <v>12</v>
      </c>
      <c r="F10" s="15" t="str">
        <f aca="false">INDEX(Scorecard!$W$5:$W$13,MATCH(B10,Scorecard!$B$5:$B$13,0))</f>
        <v>Open listing / source</v>
      </c>
    </row>
    <row r="11" customFormat="false" ht="15" hidden="false" customHeight="false" outlineLevel="0" collapsed="false">
      <c r="A11" s="11" t="s">
        <v>13</v>
      </c>
      <c r="B11" s="12" t="str">
        <f aca="false">Scorecard!D22</f>
        <v>vivo T5 Pro 5G</v>
      </c>
      <c r="C11" s="12" t="str">
        <f aca="false">Scorecard!E22</f>
        <v>12GB + 256GB</v>
      </c>
      <c r="D11" s="13" t="n">
        <f aca="false">Scorecard!F22</f>
        <v>39999</v>
      </c>
      <c r="E11" s="14" t="n">
        <f aca="false">Scorecard!C22</f>
        <v>15</v>
      </c>
      <c r="F11" s="15" t="str">
        <f aca="false">INDEX(Scorecard!$W$5:$W$13,MATCH(B11,Scorecard!$B$5:$B$13,0))</f>
        <v>Open listing / source</v>
      </c>
    </row>
    <row r="12" customFormat="false" ht="15" hidden="false" customHeight="false" outlineLevel="0" collapsed="false">
      <c r="A12" s="11" t="s">
        <v>14</v>
      </c>
      <c r="B12" s="12" t="str">
        <f aca="false">Scorecard!D20</f>
        <v>realme GT 7T 5G</v>
      </c>
      <c r="C12" s="12" t="str">
        <f aca="false">Scorecard!E20</f>
        <v>12GB + 256GB</v>
      </c>
      <c r="D12" s="13" t="n">
        <f aca="false">Scorecard!F20</f>
        <v>37999</v>
      </c>
      <c r="E12" s="14" t="n">
        <f aca="false">Scorecard!C20</f>
        <v>13</v>
      </c>
      <c r="F12" s="15" t="str">
        <f aca="false">INDEX(Scorecard!$W$5:$W$13,MATCH(B12,Scorecard!$B$5:$B$13,0))</f>
        <v>Open listing / source</v>
      </c>
    </row>
    <row r="13" customFormat="false" ht="15" hidden="false" customHeight="false" outlineLevel="0" collapsed="false">
      <c r="A13" s="11" t="s">
        <v>15</v>
      </c>
      <c r="B13" s="12" t="str">
        <f aca="false">Scorecard!D23</f>
        <v>Redmi Note 15 Pro+ 5G</v>
      </c>
      <c r="C13" s="12" t="str">
        <f aca="false">Scorecard!E23</f>
        <v>12GB + 512GB</v>
      </c>
      <c r="D13" s="13" t="n">
        <f aca="false">Scorecard!F23</f>
        <v>38990</v>
      </c>
      <c r="E13" s="14" t="n">
        <f aca="false">Scorecard!C23</f>
        <v>8</v>
      </c>
      <c r="F13" s="15" t="str">
        <f aca="false">INDEX(Scorecard!$W$5:$W$13,MATCH(B13,Scorecard!$B$5:$B$13,0))</f>
        <v>Open listing / source</v>
      </c>
    </row>
    <row r="14" customFormat="false" ht="15" hidden="false" customHeight="false" outlineLevel="0" collapsed="false">
      <c r="A14" s="11" t="s">
        <v>16</v>
      </c>
      <c r="B14" s="12" t="str">
        <f aca="false">Scorecard!D24</f>
        <v>POCO X8 Pro 5G</v>
      </c>
      <c r="C14" s="12" t="str">
        <f aca="false">Scorecard!E24</f>
        <v>12GB + 256GB</v>
      </c>
      <c r="D14" s="13" t="n">
        <f aca="false">Scorecard!F24</f>
        <v>39999</v>
      </c>
      <c r="E14" s="14" t="n">
        <f aca="false">Scorecard!C24</f>
        <v>5</v>
      </c>
      <c r="F14" s="15" t="str">
        <f aca="false">INDEX(Scorecard!$W$5:$W$13,MATCH(B14,Scorecard!$B$5:$B$13,0))</f>
        <v>Open listing / source</v>
      </c>
    </row>
    <row r="15" customFormat="false" ht="15" hidden="false" customHeight="false" outlineLevel="0" collapsed="false">
      <c r="A15" s="11" t="s">
        <v>17</v>
      </c>
      <c r="B15" s="12" t="str">
        <f aca="false">Scorecard!D26</f>
        <v>iQOO Neo 10R 5G</v>
      </c>
      <c r="C15" s="12" t="str">
        <f aca="false">Scorecard!E26</f>
        <v>12GB + 256GB</v>
      </c>
      <c r="D15" s="13" t="n">
        <f aca="false">Scorecard!F26</f>
        <v>27990</v>
      </c>
      <c r="E15" s="14" t="n">
        <f aca="false">Scorecard!C26</f>
        <v>10</v>
      </c>
      <c r="F15" s="15" t="str">
        <f aca="false">INDEX(Scorecard!$W$5:$W$13,MATCH(B15,Scorecard!$B$5:$B$13,0))</f>
        <v>Open listing / source</v>
      </c>
    </row>
    <row r="17" customFormat="false" ht="15" hidden="false" customHeight="false" outlineLevel="0" collapsed="false">
      <c r="A17" s="3" t="s">
        <v>18</v>
      </c>
    </row>
    <row r="18" customFormat="false" ht="120" hidden="false" customHeight="true" outlineLevel="0" collapsed="false">
      <c r="A18" s="16" t="s">
        <v>19</v>
      </c>
      <c r="B18" s="16"/>
      <c r="C18" s="16"/>
      <c r="D18" s="16"/>
      <c r="E18" s="16"/>
      <c r="F18" s="16"/>
    </row>
    <row r="20" customFormat="false" ht="15" hidden="false" customHeight="false" outlineLevel="0" collapsed="false">
      <c r="A20" s="3" t="s">
        <v>20</v>
      </c>
    </row>
    <row r="21" customFormat="false" ht="31.5" hidden="false" customHeight="true" outlineLevel="0" collapsed="false">
      <c r="A21" s="5" t="s">
        <v>21</v>
      </c>
      <c r="B21" s="5" t="s">
        <v>22</v>
      </c>
      <c r="C21" s="5" t="s">
        <v>6</v>
      </c>
      <c r="D21" s="5" t="s">
        <v>7</v>
      </c>
      <c r="E21" s="5" t="s">
        <v>23</v>
      </c>
      <c r="F21" s="5" t="s">
        <v>24</v>
      </c>
    </row>
    <row r="22" customFormat="false" ht="15" hidden="false" customHeight="false" outlineLevel="0" collapsed="false">
      <c r="A22" s="14" t="n">
        <v>1</v>
      </c>
      <c r="B22" s="12" t="str">
        <f aca="false">INDEX(Scorecard!$B$5:$B$13,MATCH(1,Scorecard!$U$5:$U$13,0))</f>
        <v>realme GT 7T 5G</v>
      </c>
      <c r="C22" s="12" t="str">
        <f aca="false">INDEX(Scorecard!$C$5:$C$13,MATCH(B22,Scorecard!$B$5:$B$13,0))</f>
        <v>12GB + 256GB</v>
      </c>
      <c r="D22" s="13" t="n">
        <f aca="false">INDEX(Scorecard!$G$5:$G$13,MATCH(B22,Scorecard!$B$5:$B$13,0))</f>
        <v>37999</v>
      </c>
      <c r="E22" s="14" t="n">
        <f aca="false">INDEX(Scorecard!$P$5:$P$13,MATCH(B22,Scorecard!$B$5:$B$13,0))</f>
        <v>81</v>
      </c>
      <c r="F22" s="15" t="str">
        <f aca="false">INDEX(Scorecard!$W$5:$W$13,MATCH(B22,Scorecard!$B$5:$B$13,0))</f>
        <v>Open listing / source</v>
      </c>
    </row>
    <row r="23" customFormat="false" ht="15" hidden="false" customHeight="false" outlineLevel="0" collapsed="false">
      <c r="A23" s="14" t="n">
        <v>2</v>
      </c>
      <c r="B23" s="12" t="str">
        <f aca="false">INDEX(Scorecard!$B$5:$B$13,MATCH(2,Scorecard!$U$5:$U$13,0))</f>
        <v>POCO X8 Pro 5G</v>
      </c>
      <c r="C23" s="12" t="str">
        <f aca="false">INDEX(Scorecard!$C$5:$C$13,MATCH(B23,Scorecard!$B$5:$B$13,0))</f>
        <v>12GB + 256GB</v>
      </c>
      <c r="D23" s="13" t="n">
        <f aca="false">INDEX(Scorecard!$G$5:$G$13,MATCH(B23,Scorecard!$B$5:$B$13,0))</f>
        <v>39999</v>
      </c>
      <c r="E23" s="14" t="n">
        <f aca="false">INDEX(Scorecard!$P$5:$P$13,MATCH(B23,Scorecard!$B$5:$B$13,0))</f>
        <v>79</v>
      </c>
      <c r="F23" s="15" t="str">
        <f aca="false">INDEX(Scorecard!$W$5:$W$13,MATCH(B23,Scorecard!$B$5:$B$13,0))</f>
        <v>Open listing / source</v>
      </c>
    </row>
    <row r="24" customFormat="false" ht="15" hidden="false" customHeight="false" outlineLevel="0" collapsed="false">
      <c r="A24" s="14" t="n">
        <v>3</v>
      </c>
      <c r="B24" s="12" t="str">
        <f aca="false">INDEX(Scorecard!$B$5:$B$13,MATCH(3,Scorecard!$U$5:$U$13,0))</f>
        <v>OPPO K13 Turbo Pro 5G</v>
      </c>
      <c r="C24" s="12" t="str">
        <f aca="false">INDEX(Scorecard!$C$5:$C$13,MATCH(B24,Scorecard!$B$5:$B$13,0))</f>
        <v>12GB + 256GB</v>
      </c>
      <c r="D24" s="13" t="n">
        <f aca="false">INDEX(Scorecard!$G$5:$G$13,MATCH(B24,Scorecard!$B$5:$B$13,0))</f>
        <v>33999</v>
      </c>
      <c r="E24" s="14" t="n">
        <f aca="false">INDEX(Scorecard!$P$5:$P$13,MATCH(B24,Scorecard!$B$5:$B$13,0))</f>
        <v>78</v>
      </c>
      <c r="F24" s="15" t="str">
        <f aca="false">INDEX(Scorecard!$W$5:$W$13,MATCH(B24,Scorecard!$B$5:$B$13,0))</f>
        <v>Open listing / source</v>
      </c>
    </row>
    <row r="26" customFormat="false" ht="15" hidden="false" customHeight="false" outlineLevel="0" collapsed="false">
      <c r="A26" s="3" t="s">
        <v>25</v>
      </c>
    </row>
    <row r="27" customFormat="false" ht="43.5" hidden="false" customHeight="true" outlineLevel="0" collapsed="false">
      <c r="A27" s="17" t="s">
        <v>26</v>
      </c>
      <c r="B27" s="17"/>
      <c r="C27" s="17"/>
      <c r="D27" s="17"/>
      <c r="E27" s="17"/>
      <c r="F27" s="17"/>
    </row>
    <row r="28" customFormat="false" ht="43.5" hidden="false" customHeight="true" outlineLevel="0" collapsed="false">
      <c r="A28" s="17" t="s">
        <v>27</v>
      </c>
      <c r="B28" s="17"/>
      <c r="C28" s="17"/>
      <c r="D28" s="17"/>
      <c r="E28" s="17"/>
      <c r="F28" s="17"/>
    </row>
    <row r="29" customFormat="false" ht="43.5" hidden="false" customHeight="true" outlineLevel="0" collapsed="false">
      <c r="A29" s="17" t="s">
        <v>28</v>
      </c>
      <c r="B29" s="17"/>
      <c r="C29" s="17"/>
      <c r="D29" s="17"/>
      <c r="E29" s="17"/>
      <c r="F29" s="17"/>
    </row>
    <row r="30" customFormat="false" ht="43.5" hidden="false" customHeight="true" outlineLevel="0" collapsed="false">
      <c r="A30" s="17" t="s">
        <v>29</v>
      </c>
      <c r="B30" s="17"/>
      <c r="C30" s="17"/>
      <c r="D30" s="17"/>
      <c r="E30" s="17"/>
      <c r="F30" s="17"/>
    </row>
    <row r="31" customFormat="false" ht="43.5" hidden="false" customHeight="true" outlineLevel="0" collapsed="false">
      <c r="A31" s="17" t="s">
        <v>30</v>
      </c>
      <c r="B31" s="17"/>
      <c r="C31" s="17"/>
      <c r="D31" s="17"/>
      <c r="E31" s="17"/>
      <c r="F31" s="17"/>
    </row>
    <row r="33" customFormat="false" ht="15" hidden="false" customHeight="false" outlineLevel="0" collapsed="false">
      <c r="A33" s="3" t="s">
        <v>31</v>
      </c>
    </row>
    <row r="34" customFormat="false" ht="15" hidden="false" customHeight="false" outlineLevel="0" collapsed="false">
      <c r="A34" s="18" t="s">
        <v>32</v>
      </c>
    </row>
    <row r="35" customFormat="false" ht="15" hidden="false" customHeight="false" outlineLevel="0" collapsed="false">
      <c r="A35" s="19" t="s">
        <v>33</v>
      </c>
    </row>
    <row r="36" customFormat="false" ht="15" hidden="false" customHeight="false" outlineLevel="0" collapsed="false">
      <c r="A36" s="20" t="s">
        <v>34</v>
      </c>
    </row>
    <row r="37" customFormat="false" ht="15" hidden="false" customHeight="false" outlineLevel="0" collapsed="false">
      <c r="A37" s="21" t="s">
        <v>35</v>
      </c>
    </row>
    <row r="38" customFormat="false" ht="15" hidden="false" customHeight="false" outlineLevel="0" collapsed="false">
      <c r="A38" s="22" t="s">
        <v>36</v>
      </c>
    </row>
    <row r="39" customFormat="false" ht="15" hidden="false" customHeight="false" outlineLevel="0" collapsed="false">
      <c r="A39" s="23" t="s">
        <v>37</v>
      </c>
    </row>
  </sheetData>
  <mergeCells count="9">
    <mergeCell ref="A1:F1"/>
    <mergeCell ref="A2:F2"/>
    <mergeCell ref="A5:F5"/>
    <mergeCell ref="A18:F18"/>
    <mergeCell ref="A27:F27"/>
    <mergeCell ref="A28:F28"/>
    <mergeCell ref="A29:F29"/>
    <mergeCell ref="A30:F30"/>
    <mergeCell ref="A31:F3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D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24"/>
    <col collapsed="false" customWidth="true" hidden="false" outlineLevel="0" max="4" min="4" style="0" width="60"/>
  </cols>
  <sheetData>
    <row r="1" customFormat="false" ht="30" hidden="false" customHeight="true" outlineLevel="0" collapsed="false">
      <c r="A1" s="1" t="s">
        <v>38</v>
      </c>
      <c r="B1" s="1"/>
      <c r="C1" s="1"/>
      <c r="D1" s="1"/>
    </row>
    <row r="2" customFormat="false" ht="42" hidden="false" customHeight="true" outlineLevel="0" collapsed="false">
      <c r="A2" s="2" t="s">
        <v>39</v>
      </c>
      <c r="B2" s="2"/>
      <c r="C2" s="2"/>
      <c r="D2" s="2"/>
    </row>
    <row r="4" customFormat="false" ht="31.5" hidden="false" customHeight="true" outlineLevel="0" collapsed="false">
      <c r="A4" s="5" t="s">
        <v>40</v>
      </c>
      <c r="B4" s="5" t="s">
        <v>41</v>
      </c>
      <c r="C4" s="5" t="s">
        <v>42</v>
      </c>
      <c r="D4" s="5" t="s">
        <v>43</v>
      </c>
    </row>
    <row r="5" customFormat="false" ht="30" hidden="false" customHeight="true" outlineLevel="0" collapsed="false">
      <c r="A5" s="11" t="s">
        <v>44</v>
      </c>
      <c r="B5" s="12" t="s">
        <v>45</v>
      </c>
      <c r="C5" s="24" t="s">
        <v>46</v>
      </c>
      <c r="D5" s="15" t="s">
        <v>47</v>
      </c>
    </row>
    <row r="6" customFormat="false" ht="30" hidden="false" customHeight="true" outlineLevel="0" collapsed="false">
      <c r="A6" s="11" t="s">
        <v>48</v>
      </c>
      <c r="B6" s="12" t="s">
        <v>49</v>
      </c>
      <c r="C6" s="24" t="s">
        <v>46</v>
      </c>
      <c r="D6" s="15" t="s">
        <v>50</v>
      </c>
    </row>
    <row r="7" customFormat="false" ht="30" hidden="false" customHeight="true" outlineLevel="0" collapsed="false">
      <c r="A7" s="11" t="s">
        <v>51</v>
      </c>
      <c r="B7" s="12" t="s">
        <v>52</v>
      </c>
      <c r="C7" s="24" t="s">
        <v>46</v>
      </c>
      <c r="D7" s="15" t="s">
        <v>53</v>
      </c>
    </row>
    <row r="8" customFormat="false" ht="30" hidden="false" customHeight="true" outlineLevel="0" collapsed="false">
      <c r="A8" s="11" t="s">
        <v>54</v>
      </c>
      <c r="B8" s="12" t="s">
        <v>55</v>
      </c>
      <c r="C8" s="24" t="s">
        <v>56</v>
      </c>
      <c r="D8" s="15" t="s">
        <v>57</v>
      </c>
    </row>
    <row r="9" customFormat="false" ht="30" hidden="false" customHeight="true" outlineLevel="0" collapsed="false">
      <c r="A9" s="11" t="s">
        <v>58</v>
      </c>
      <c r="B9" s="12" t="s">
        <v>59</v>
      </c>
      <c r="C9" s="25" t="s">
        <v>60</v>
      </c>
      <c r="D9" s="15" t="s">
        <v>61</v>
      </c>
    </row>
    <row r="10" customFormat="false" ht="30" hidden="false" customHeight="true" outlineLevel="0" collapsed="false">
      <c r="A10" s="11" t="s">
        <v>62</v>
      </c>
      <c r="B10" s="12" t="s">
        <v>63</v>
      </c>
      <c r="C10" s="25" t="s">
        <v>64</v>
      </c>
      <c r="D10" s="15" t="s">
        <v>65</v>
      </c>
    </row>
    <row r="11" customFormat="false" ht="30" hidden="false" customHeight="true" outlineLevel="0" collapsed="false">
      <c r="A11" s="11" t="s">
        <v>66</v>
      </c>
      <c r="B11" s="12" t="s">
        <v>67</v>
      </c>
      <c r="C11" s="24" t="s">
        <v>68</v>
      </c>
      <c r="D11" s="15" t="s">
        <v>69</v>
      </c>
    </row>
    <row r="12" customFormat="false" ht="30" hidden="false" customHeight="true" outlineLevel="0" collapsed="false">
      <c r="A12" s="11" t="s">
        <v>70</v>
      </c>
      <c r="B12" s="12" t="s">
        <v>71</v>
      </c>
      <c r="C12" s="24" t="s">
        <v>46</v>
      </c>
      <c r="D12" s="15" t="s">
        <v>72</v>
      </c>
    </row>
    <row r="13" customFormat="false" ht="30" hidden="false" customHeight="true" outlineLevel="0" collapsed="false">
      <c r="A13" s="11" t="s">
        <v>73</v>
      </c>
      <c r="B13" s="12" t="s">
        <v>74</v>
      </c>
      <c r="C13" s="24" t="s">
        <v>75</v>
      </c>
      <c r="D13" s="15" t="s">
        <v>76</v>
      </c>
    </row>
    <row r="14" customFormat="false" ht="30" hidden="false" customHeight="true" outlineLevel="0" collapsed="false">
      <c r="A14" s="11" t="s">
        <v>77</v>
      </c>
      <c r="B14" s="12" t="s">
        <v>78</v>
      </c>
      <c r="C14" s="24" t="s">
        <v>46</v>
      </c>
      <c r="D14" s="15" t="s">
        <v>79</v>
      </c>
    </row>
    <row r="15" customFormat="false" ht="30" hidden="false" customHeight="true" outlineLevel="0" collapsed="false">
      <c r="A15" s="11" t="s">
        <v>80</v>
      </c>
      <c r="B15" s="12" t="s">
        <v>81</v>
      </c>
      <c r="C15" s="24" t="s">
        <v>46</v>
      </c>
      <c r="D15" s="15" t="s">
        <v>82</v>
      </c>
    </row>
    <row r="16" customFormat="false" ht="30" hidden="false" customHeight="true" outlineLevel="0" collapsed="false">
      <c r="A16" s="11" t="s">
        <v>83</v>
      </c>
      <c r="B16" s="12" t="s">
        <v>84</v>
      </c>
      <c r="C16" s="24" t="s">
        <v>46</v>
      </c>
      <c r="D16" s="15" t="s">
        <v>85</v>
      </c>
    </row>
    <row r="17" customFormat="false" ht="30" hidden="false" customHeight="true" outlineLevel="0" collapsed="false">
      <c r="A17" s="11" t="s">
        <v>86</v>
      </c>
      <c r="B17" s="12" t="s">
        <v>87</v>
      </c>
      <c r="C17" s="24" t="s">
        <v>46</v>
      </c>
      <c r="D17" s="15" t="s">
        <v>88</v>
      </c>
    </row>
    <row r="18" customFormat="false" ht="30" hidden="false" customHeight="true" outlineLevel="0" collapsed="false">
      <c r="A18" s="11" t="s">
        <v>89</v>
      </c>
      <c r="B18" s="12" t="s">
        <v>90</v>
      </c>
      <c r="C18" s="24" t="s">
        <v>91</v>
      </c>
      <c r="D18" s="15" t="s">
        <v>92</v>
      </c>
    </row>
    <row r="19" customFormat="false" ht="30" hidden="false" customHeight="true" outlineLevel="0" collapsed="false">
      <c r="A19" s="11" t="s">
        <v>93</v>
      </c>
      <c r="B19" s="12" t="s">
        <v>94</v>
      </c>
      <c r="C19" s="24" t="s">
        <v>46</v>
      </c>
      <c r="D19" s="15" t="s">
        <v>95</v>
      </c>
    </row>
    <row r="20" customFormat="false" ht="30" hidden="false" customHeight="true" outlineLevel="0" collapsed="false">
      <c r="A20" s="11" t="s">
        <v>96</v>
      </c>
      <c r="B20" s="12" t="s">
        <v>97</v>
      </c>
      <c r="C20" s="25" t="s">
        <v>98</v>
      </c>
      <c r="D20" s="15" t="s">
        <v>99</v>
      </c>
    </row>
    <row r="21" customFormat="false" ht="30" hidden="false" customHeight="true" outlineLevel="0" collapsed="false">
      <c r="A21" s="11" t="s">
        <v>100</v>
      </c>
      <c r="B21" s="12" t="s">
        <v>101</v>
      </c>
      <c r="C21" s="24" t="s">
        <v>46</v>
      </c>
      <c r="D21" s="15" t="s">
        <v>85</v>
      </c>
    </row>
    <row r="22" customFormat="false" ht="30" hidden="false" customHeight="true" outlineLevel="0" collapsed="false">
      <c r="A22" s="11" t="s">
        <v>102</v>
      </c>
      <c r="B22" s="12" t="s">
        <v>103</v>
      </c>
      <c r="C22" s="24" t="s">
        <v>104</v>
      </c>
      <c r="D22" s="15" t="s">
        <v>79</v>
      </c>
    </row>
    <row r="23" customFormat="false" ht="30" hidden="false" customHeight="true" outlineLevel="0" collapsed="false">
      <c r="A23" s="11" t="s">
        <v>105</v>
      </c>
      <c r="B23" s="12" t="s">
        <v>106</v>
      </c>
      <c r="C23" s="24" t="s">
        <v>46</v>
      </c>
      <c r="D23" s="15" t="s">
        <v>88</v>
      </c>
    </row>
    <row r="24" customFormat="false" ht="30" hidden="false" customHeight="true" outlineLevel="0" collapsed="false">
      <c r="A24" s="11" t="s">
        <v>107</v>
      </c>
      <c r="B24" s="12" t="s">
        <v>108</v>
      </c>
      <c r="C24" s="25" t="s">
        <v>109</v>
      </c>
      <c r="D24" s="15" t="s">
        <v>47</v>
      </c>
    </row>
    <row r="25" customFormat="false" ht="30" hidden="false" customHeight="true" outlineLevel="0" collapsed="false">
      <c r="A25" s="11" t="s">
        <v>110</v>
      </c>
      <c r="B25" s="12" t="s">
        <v>111</v>
      </c>
      <c r="C25" s="24" t="s">
        <v>112</v>
      </c>
      <c r="D25" s="15" t="s">
        <v>113</v>
      </c>
    </row>
    <row r="26" customFormat="false" ht="30" hidden="false" customHeight="true" outlineLevel="0" collapsed="false">
      <c r="A26" s="11" t="s">
        <v>114</v>
      </c>
      <c r="B26" s="12" t="s">
        <v>115</v>
      </c>
      <c r="C26" s="25" t="s">
        <v>64</v>
      </c>
      <c r="D26" s="15" t="s">
        <v>65</v>
      </c>
    </row>
    <row r="27" customFormat="false" ht="30" hidden="false" customHeight="true" outlineLevel="0" collapsed="false">
      <c r="A27" s="11" t="s">
        <v>116</v>
      </c>
      <c r="B27" s="12" t="s">
        <v>117</v>
      </c>
      <c r="C27" s="25" t="s">
        <v>118</v>
      </c>
      <c r="D27" s="15" t="s">
        <v>119</v>
      </c>
    </row>
    <row r="28" customFormat="false" ht="30" hidden="false" customHeight="true" outlineLevel="0" collapsed="false">
      <c r="A28" s="11" t="s">
        <v>120</v>
      </c>
      <c r="B28" s="12" t="s">
        <v>121</v>
      </c>
      <c r="C28" s="24" t="s">
        <v>122</v>
      </c>
      <c r="D28" s="15" t="s">
        <v>123</v>
      </c>
    </row>
    <row r="30" customFormat="false" ht="15" hidden="false" customHeight="false" outlineLevel="0" collapsed="false">
      <c r="A30" s="3" t="s">
        <v>31</v>
      </c>
    </row>
    <row r="31" customFormat="false" ht="15" hidden="false" customHeight="false" outlineLevel="0" collapsed="false">
      <c r="A31" s="18" t="s">
        <v>32</v>
      </c>
    </row>
    <row r="32" customFormat="false" ht="15" hidden="false" customHeight="false" outlineLevel="0" collapsed="false">
      <c r="A32" s="19" t="s">
        <v>33</v>
      </c>
    </row>
    <row r="33" customFormat="false" ht="15" hidden="false" customHeight="false" outlineLevel="0" collapsed="false">
      <c r="A33" s="20" t="s">
        <v>34</v>
      </c>
    </row>
    <row r="34" customFormat="false" ht="15" hidden="false" customHeight="false" outlineLevel="0" collapsed="false">
      <c r="A34" s="21" t="s">
        <v>35</v>
      </c>
    </row>
    <row r="35" customFormat="false" ht="15" hidden="false" customHeight="false" outlineLevel="0" collapsed="false">
      <c r="A35" s="22" t="s">
        <v>36</v>
      </c>
    </row>
    <row r="36" customFormat="false" ht="15" hidden="false" customHeight="false" outlineLevel="0" collapsed="false">
      <c r="A36" s="23" t="s">
        <v>37</v>
      </c>
    </row>
  </sheetData>
  <mergeCells count="2">
    <mergeCell ref="A1:D1"/>
    <mergeCell ref="A2:D2"/>
  </mergeCells>
  <hyperlinks>
    <hyperlink ref="D5" r:id="rId1" display="https://www.oneplus.com/global/nord-ce6/specs"/>
    <hyperlink ref="D6" r:id="rId2" display="https://tech.sportskeeda.com/mobiles/oneplus-nord-ce6-series-launched-india-specs-features-price"/>
    <hyperlink ref="D7" r:id="rId3" display="https://www.tech2.com/mobile/oneplus-nord-ce-6-and-nord-ce-6-lite-with-8000mah-battery-launched-in-india-price-specs-text-10080729.html"/>
    <hyperlink ref="D8" r:id="rId4" display="https://www.mymobileindia.com/oneplus-nord-ce-6-gets-another-price-hike-in-india-now-costs-rs-4000-more-than-launch-price/"/>
    <hyperlink ref="D9" r:id="rId5" display="https://www.amazon.in/OnePlus-Snapdragon-Segments-Fastest-Response/dp/B0GWLHVJRH"/>
    <hyperlink ref="D10" r:id="rId6" display="https://www.mysmartprice.com/mobile/oneplus-nord-ce-6-5g-256gb-msp620884"/>
    <hyperlink ref="D11" r:id="rId7" display="https://www.smartprix.com/mobiles/oneplus-nord-ce-6-5g-8gb-ram-256gb-ppd1d6l6a324"/>
    <hyperlink ref="D12" r:id="rId8" display="https://www.digit.in/mobiles/oneplus-nord-ce-6.html"/>
    <hyperlink ref="D13" r:id="rId9" display="https://gadgets.beebom.com/mobile/oneplus-nord-ce-6"/>
    <hyperlink ref="D14" r:id="rId10" display="https://www.gsmarena.com/oneplus_nord_ce6_5g-14611.php"/>
    <hyperlink ref="D15" r:id="rId11" display="https://www.gsmarena.com/oneplus_nord_ce6-review-2961p5.php"/>
    <hyperlink ref="D16" r:id="rId12" display="https://www.91mobiles.com/hub/oneplus-nord-ce-6-ce-6-lite-launched-price-specifications-sale/"/>
    <hyperlink ref="D17" r:id="rId13" display="https://www.gsmarena.com/compare.php3?idPhone1=14611"/>
    <hyperlink ref="D18" r:id="rId14" display="https://gadgets.beebom.com/reviews/oneplus-nord-ce-6-review"/>
    <hyperlink ref="D19" r:id="rId15" display="https://www.gsmarena.com/oneplus_nord_ce6-review-2961p4.php"/>
    <hyperlink ref="D20" r:id="rId16" display="https://9to5google.com/2026/05/08/oneplus-software-updates-nord-ce6/"/>
    <hyperlink ref="D21" r:id="rId17" display="https://www.91mobiles.com/hub/oneplus-nord-ce-6-ce-6-lite-launched-price-specifications-sale/"/>
    <hyperlink ref="D22" r:id="rId18" display="https://www.gsmarena.com/oneplus_nord_ce6_5g-14611.php"/>
    <hyperlink ref="D23" r:id="rId19" display="https://www.gsmarena.com/compare.php3?idPhone1=14611"/>
    <hyperlink ref="D24" r:id="rId20" display="https://www.oneplus.com/global/nord-ce6/specs"/>
    <hyperlink ref="D25" r:id="rId21" display="https://www.mobiledokan.com/review/oneplus-nord-ce6-full-review"/>
    <hyperlink ref="D26" r:id="rId22" display="https://www.mysmartprice.com/mobile/oneplus-nord-ce-6-5g-256gb-msp620884"/>
    <hyperlink ref="D27" r:id="rId23" display="https://www.oneplus.in/support"/>
    <hyperlink ref="D28" r:id="rId24" display="https://www.smartprix.com/bytes/oneplus-nord-ce6-review-with-pros-and-cons/"/>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2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O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22"/>
    <col collapsed="false" customWidth="true" hidden="false" outlineLevel="0" max="4" min="4" style="0" width="11"/>
    <col collapsed="false" customWidth="true" hidden="false" outlineLevel="0" max="5" min="5" style="0" width="12"/>
    <col collapsed="false" customWidth="true" hidden="false" outlineLevel="0" max="6" min="6" style="0" width="18"/>
    <col collapsed="false" customWidth="true" hidden="false" outlineLevel="0" max="7" min="7" style="0" width="16"/>
    <col collapsed="false" customWidth="true" hidden="false" outlineLevel="0" max="8" min="8" style="0" width="11"/>
    <col collapsed="false" customWidth="true" hidden="false" outlineLevel="0" max="9" min="9" style="0" width="14"/>
    <col collapsed="false" customWidth="true" hidden="false" outlineLevel="0" max="10" min="10" style="0" width="20"/>
    <col collapsed="false" customWidth="true" hidden="false" outlineLevel="0" max="11" min="11" style="0" width="18"/>
    <col collapsed="false" customWidth="true" hidden="false" outlineLevel="0" max="12" min="12" style="0" width="28"/>
    <col collapsed="false" customWidth="true" hidden="false" outlineLevel="0" max="13" min="13" style="0" width="22"/>
    <col collapsed="false" customWidth="true" hidden="false" outlineLevel="0" max="15" min="14" style="0" width="34"/>
  </cols>
  <sheetData>
    <row r="1" customFormat="false" ht="30" hidden="false" customHeight="true" outlineLevel="0" collapsed="false">
      <c r="A1" s="1" t="s">
        <v>124</v>
      </c>
      <c r="B1" s="1"/>
      <c r="C1" s="1"/>
      <c r="D1" s="1"/>
      <c r="E1" s="1"/>
      <c r="F1" s="1"/>
      <c r="G1" s="1"/>
      <c r="H1" s="1"/>
      <c r="I1" s="1"/>
      <c r="J1" s="1"/>
      <c r="K1" s="1"/>
      <c r="L1" s="1"/>
      <c r="M1" s="1"/>
      <c r="N1" s="1"/>
      <c r="O1" s="1"/>
    </row>
    <row r="2" customFormat="false" ht="42" hidden="false" customHeight="true" outlineLevel="0" collapsed="false">
      <c r="A2" s="2" t="s">
        <v>125</v>
      </c>
      <c r="B2" s="2"/>
      <c r="C2" s="2"/>
      <c r="D2" s="2"/>
      <c r="E2" s="2"/>
      <c r="F2" s="2"/>
      <c r="G2" s="2"/>
      <c r="H2" s="2"/>
      <c r="I2" s="2"/>
      <c r="J2" s="2"/>
      <c r="K2" s="2"/>
      <c r="L2" s="2"/>
      <c r="M2" s="2"/>
      <c r="N2" s="2"/>
      <c r="O2" s="2"/>
    </row>
    <row r="4" customFormat="false" ht="31.5" hidden="false" customHeight="true" outlineLevel="0" collapsed="false">
      <c r="A4" s="5" t="s">
        <v>22</v>
      </c>
      <c r="B4" s="5" t="s">
        <v>6</v>
      </c>
      <c r="C4" s="5" t="s">
        <v>126</v>
      </c>
      <c r="D4" s="5" t="s">
        <v>127</v>
      </c>
      <c r="E4" s="5" t="s">
        <v>128</v>
      </c>
      <c r="F4" s="5" t="s">
        <v>129</v>
      </c>
      <c r="G4" s="5" t="s">
        <v>130</v>
      </c>
      <c r="H4" s="5" t="s">
        <v>131</v>
      </c>
      <c r="I4" s="5" t="s">
        <v>132</v>
      </c>
      <c r="J4" s="5" t="s">
        <v>133</v>
      </c>
      <c r="K4" s="5" t="s">
        <v>134</v>
      </c>
      <c r="L4" s="5" t="s">
        <v>135</v>
      </c>
      <c r="M4" s="5" t="s">
        <v>136</v>
      </c>
      <c r="N4" s="5" t="s">
        <v>24</v>
      </c>
      <c r="O4" s="5" t="s">
        <v>137</v>
      </c>
    </row>
    <row r="5" customFormat="false" ht="35.05" hidden="false" customHeight="false" outlineLevel="0" collapsed="false">
      <c r="A5" s="12" t="s">
        <v>138</v>
      </c>
      <c r="B5" s="12" t="s">
        <v>139</v>
      </c>
      <c r="C5" s="12" t="s">
        <v>140</v>
      </c>
      <c r="D5" s="26" t="n">
        <v>40999</v>
      </c>
      <c r="E5" s="26" t="n">
        <v>34999</v>
      </c>
      <c r="F5" s="12" t="s">
        <v>141</v>
      </c>
      <c r="G5" s="27" t="s">
        <v>142</v>
      </c>
      <c r="H5" s="12" t="s">
        <v>143</v>
      </c>
      <c r="I5" s="28" t="s">
        <v>144</v>
      </c>
      <c r="J5" s="12" t="s">
        <v>145</v>
      </c>
      <c r="K5" s="12" t="s">
        <v>146</v>
      </c>
      <c r="L5" s="24" t="s">
        <v>60</v>
      </c>
      <c r="M5" s="12" t="s">
        <v>147</v>
      </c>
      <c r="N5" s="15" t="s">
        <v>61</v>
      </c>
      <c r="O5" s="12" t="s">
        <v>148</v>
      </c>
    </row>
    <row r="6" customFormat="false" ht="35.05" hidden="false" customHeight="false" outlineLevel="0" collapsed="false">
      <c r="A6" s="12" t="s">
        <v>138</v>
      </c>
      <c r="B6" s="12" t="s">
        <v>149</v>
      </c>
      <c r="C6" s="12" t="s">
        <v>140</v>
      </c>
      <c r="D6" s="28" t="s">
        <v>144</v>
      </c>
      <c r="E6" s="26" t="n">
        <v>36999</v>
      </c>
      <c r="F6" s="12" t="s">
        <v>141</v>
      </c>
      <c r="G6" s="27" t="s">
        <v>142</v>
      </c>
      <c r="H6" s="12" t="s">
        <v>143</v>
      </c>
      <c r="I6" s="28" t="s">
        <v>144</v>
      </c>
      <c r="J6" s="12" t="s">
        <v>150</v>
      </c>
      <c r="K6" s="12" t="s">
        <v>151</v>
      </c>
      <c r="L6" s="25" t="s">
        <v>152</v>
      </c>
      <c r="M6" s="12" t="s">
        <v>147</v>
      </c>
      <c r="N6" s="15" t="s">
        <v>65</v>
      </c>
      <c r="O6" s="12" t="s">
        <v>153</v>
      </c>
    </row>
    <row r="7" customFormat="false" ht="35.05" hidden="false" customHeight="false" outlineLevel="0" collapsed="false">
      <c r="A7" s="12" t="s">
        <v>138</v>
      </c>
      <c r="B7" s="12" t="s">
        <v>139</v>
      </c>
      <c r="C7" s="12" t="s">
        <v>154</v>
      </c>
      <c r="D7" s="28" t="s">
        <v>144</v>
      </c>
      <c r="E7" s="26" t="n">
        <v>36197</v>
      </c>
      <c r="F7" s="12" t="s">
        <v>141</v>
      </c>
      <c r="G7" s="27" t="s">
        <v>142</v>
      </c>
      <c r="H7" s="12" t="s">
        <v>143</v>
      </c>
      <c r="I7" s="29" t="n">
        <v>33912</v>
      </c>
      <c r="J7" s="12" t="s">
        <v>155</v>
      </c>
      <c r="K7" s="12" t="s">
        <v>146</v>
      </c>
      <c r="L7" s="24" t="s">
        <v>60</v>
      </c>
      <c r="M7" s="12" t="s">
        <v>147</v>
      </c>
      <c r="N7" s="15" t="s">
        <v>156</v>
      </c>
      <c r="O7" s="12" t="s">
        <v>157</v>
      </c>
    </row>
    <row r="8" customFormat="false" ht="35.05" hidden="false" customHeight="false" outlineLevel="0" collapsed="false">
      <c r="A8" s="12" t="s">
        <v>138</v>
      </c>
      <c r="B8" s="12" t="s">
        <v>149</v>
      </c>
      <c r="C8" s="12" t="s">
        <v>158</v>
      </c>
      <c r="D8" s="28" t="s">
        <v>144</v>
      </c>
      <c r="E8" s="28"/>
      <c r="F8" s="12" t="s">
        <v>159</v>
      </c>
      <c r="G8" s="12" t="s">
        <v>159</v>
      </c>
      <c r="H8" s="12" t="s">
        <v>159</v>
      </c>
      <c r="I8" s="28" t="s">
        <v>144</v>
      </c>
      <c r="J8" s="12" t="s">
        <v>159</v>
      </c>
      <c r="K8" s="12" t="s">
        <v>159</v>
      </c>
      <c r="L8" s="30" t="s">
        <v>159</v>
      </c>
      <c r="M8" s="12" t="s">
        <v>147</v>
      </c>
      <c r="N8" s="15" t="s">
        <v>160</v>
      </c>
      <c r="O8" s="12" t="s">
        <v>161</v>
      </c>
    </row>
    <row r="9" customFormat="false" ht="35.05" hidden="false" customHeight="false" outlineLevel="0" collapsed="false">
      <c r="A9" s="12" t="s">
        <v>138</v>
      </c>
      <c r="B9" s="12" t="s">
        <v>149</v>
      </c>
      <c r="C9" s="12" t="s">
        <v>162</v>
      </c>
      <c r="D9" s="28" t="s">
        <v>144</v>
      </c>
      <c r="E9" s="28"/>
      <c r="F9" s="12" t="s">
        <v>159</v>
      </c>
      <c r="G9" s="12" t="s">
        <v>159</v>
      </c>
      <c r="H9" s="12" t="s">
        <v>159</v>
      </c>
      <c r="I9" s="28" t="s">
        <v>144</v>
      </c>
      <c r="J9" s="12" t="s">
        <v>159</v>
      </c>
      <c r="K9" s="12" t="s">
        <v>159</v>
      </c>
      <c r="L9" s="30" t="s">
        <v>159</v>
      </c>
      <c r="M9" s="12" t="s">
        <v>147</v>
      </c>
      <c r="N9" s="15" t="s">
        <v>163</v>
      </c>
      <c r="O9" s="12" t="s">
        <v>161</v>
      </c>
    </row>
    <row r="10" customFormat="false" ht="35.05" hidden="false" customHeight="false" outlineLevel="0" collapsed="false">
      <c r="A10" s="12" t="s">
        <v>138</v>
      </c>
      <c r="B10" s="12" t="s">
        <v>149</v>
      </c>
      <c r="C10" s="12" t="s">
        <v>164</v>
      </c>
      <c r="D10" s="28" t="s">
        <v>144</v>
      </c>
      <c r="E10" s="28"/>
      <c r="F10" s="12" t="s">
        <v>159</v>
      </c>
      <c r="G10" s="12" t="s">
        <v>159</v>
      </c>
      <c r="H10" s="12" t="s">
        <v>159</v>
      </c>
      <c r="I10" s="28" t="s">
        <v>144</v>
      </c>
      <c r="J10" s="12" t="s">
        <v>159</v>
      </c>
      <c r="K10" s="12" t="s">
        <v>159</v>
      </c>
      <c r="L10" s="30" t="s">
        <v>159</v>
      </c>
      <c r="M10" s="12" t="s">
        <v>147</v>
      </c>
      <c r="N10" s="15" t="s">
        <v>165</v>
      </c>
      <c r="O10" s="12" t="s">
        <v>161</v>
      </c>
    </row>
    <row r="11" customFormat="false" ht="35.05" hidden="false" customHeight="false" outlineLevel="0" collapsed="false">
      <c r="A11" s="12" t="s">
        <v>166</v>
      </c>
      <c r="B11" s="12" t="s">
        <v>167</v>
      </c>
      <c r="C11" s="12" t="s">
        <v>154</v>
      </c>
      <c r="D11" s="26" t="n">
        <v>44999</v>
      </c>
      <c r="E11" s="26" t="n">
        <v>33999</v>
      </c>
      <c r="F11" s="27" t="s">
        <v>168</v>
      </c>
      <c r="G11" s="27" t="s">
        <v>142</v>
      </c>
      <c r="H11" s="12" t="s">
        <v>143</v>
      </c>
      <c r="I11" s="29" t="n">
        <v>32299</v>
      </c>
      <c r="J11" s="12" t="s">
        <v>169</v>
      </c>
      <c r="K11" s="12" t="s">
        <v>170</v>
      </c>
      <c r="L11" s="25" t="s">
        <v>171</v>
      </c>
      <c r="M11" s="12" t="s">
        <v>147</v>
      </c>
      <c r="N11" s="15" t="s">
        <v>172</v>
      </c>
      <c r="O11" s="12" t="s">
        <v>173</v>
      </c>
    </row>
    <row r="12" customFormat="false" ht="35.05" hidden="false" customHeight="false" outlineLevel="0" collapsed="false">
      <c r="A12" s="12" t="s">
        <v>166</v>
      </c>
      <c r="B12" s="12" t="s">
        <v>167</v>
      </c>
      <c r="C12" s="12" t="s">
        <v>174</v>
      </c>
      <c r="D12" s="28" t="s">
        <v>144</v>
      </c>
      <c r="E12" s="28"/>
      <c r="F12" s="12" t="s">
        <v>159</v>
      </c>
      <c r="G12" s="12" t="s">
        <v>159</v>
      </c>
      <c r="H12" s="12" t="s">
        <v>159</v>
      </c>
      <c r="I12" s="28" t="s">
        <v>144</v>
      </c>
      <c r="J12" s="12" t="s">
        <v>175</v>
      </c>
      <c r="K12" s="12" t="s">
        <v>176</v>
      </c>
      <c r="L12" s="30" t="s">
        <v>177</v>
      </c>
      <c r="M12" s="12" t="s">
        <v>147</v>
      </c>
      <c r="N12" s="15" t="s">
        <v>178</v>
      </c>
      <c r="O12" s="12" t="s">
        <v>179</v>
      </c>
    </row>
    <row r="13" customFormat="false" ht="35.05" hidden="false" customHeight="false" outlineLevel="0" collapsed="false">
      <c r="A13" s="12" t="s">
        <v>180</v>
      </c>
      <c r="B13" s="12" t="s">
        <v>167</v>
      </c>
      <c r="C13" s="12" t="s">
        <v>154</v>
      </c>
      <c r="D13" s="28" t="s">
        <v>144</v>
      </c>
      <c r="E13" s="26" t="n">
        <v>27990</v>
      </c>
      <c r="F13" s="12" t="s">
        <v>141</v>
      </c>
      <c r="G13" s="27" t="s">
        <v>142</v>
      </c>
      <c r="H13" s="12" t="s">
        <v>159</v>
      </c>
      <c r="I13" s="28" t="s">
        <v>144</v>
      </c>
      <c r="J13" s="12" t="s">
        <v>155</v>
      </c>
      <c r="K13" s="12" t="s">
        <v>181</v>
      </c>
      <c r="L13" s="25" t="s">
        <v>182</v>
      </c>
      <c r="M13" s="12" t="s">
        <v>147</v>
      </c>
      <c r="N13" s="15" t="s">
        <v>183</v>
      </c>
      <c r="O13" s="12" t="s">
        <v>184</v>
      </c>
    </row>
    <row r="14" customFormat="false" ht="35.05" hidden="false" customHeight="false" outlineLevel="0" collapsed="false">
      <c r="A14" s="12" t="s">
        <v>180</v>
      </c>
      <c r="B14" s="12" t="s">
        <v>167</v>
      </c>
      <c r="C14" s="12" t="s">
        <v>140</v>
      </c>
      <c r="D14" s="28" t="s">
        <v>144</v>
      </c>
      <c r="E14" s="26" t="n">
        <v>30999</v>
      </c>
      <c r="F14" s="12" t="s">
        <v>141</v>
      </c>
      <c r="G14" s="27" t="s">
        <v>142</v>
      </c>
      <c r="H14" s="12" t="s">
        <v>159</v>
      </c>
      <c r="I14" s="28" t="s">
        <v>144</v>
      </c>
      <c r="J14" s="12" t="s">
        <v>185</v>
      </c>
      <c r="K14" s="12" t="s">
        <v>181</v>
      </c>
      <c r="L14" s="25" t="s">
        <v>186</v>
      </c>
      <c r="M14" s="12" t="s">
        <v>147</v>
      </c>
      <c r="N14" s="15" t="s">
        <v>187</v>
      </c>
      <c r="O14" s="12" t="s">
        <v>188</v>
      </c>
    </row>
    <row r="15" customFormat="false" ht="35.05" hidden="false" customHeight="false" outlineLevel="0" collapsed="false">
      <c r="A15" s="12" t="s">
        <v>180</v>
      </c>
      <c r="B15" s="12" t="s">
        <v>167</v>
      </c>
      <c r="C15" s="12" t="s">
        <v>189</v>
      </c>
      <c r="D15" s="28" t="s">
        <v>144</v>
      </c>
      <c r="E15" s="28"/>
      <c r="F15" s="12" t="s">
        <v>159</v>
      </c>
      <c r="G15" s="12" t="s">
        <v>159</v>
      </c>
      <c r="H15" s="12" t="s">
        <v>159</v>
      </c>
      <c r="I15" s="28" t="s">
        <v>144</v>
      </c>
      <c r="J15" s="12" t="s">
        <v>159</v>
      </c>
      <c r="K15" s="12" t="s">
        <v>159</v>
      </c>
      <c r="L15" s="30" t="s">
        <v>159</v>
      </c>
      <c r="M15" s="12" t="s">
        <v>147</v>
      </c>
      <c r="N15" s="15" t="s">
        <v>160</v>
      </c>
      <c r="O15" s="12" t="s">
        <v>175</v>
      </c>
    </row>
    <row r="16" customFormat="false" ht="35.05" hidden="false" customHeight="false" outlineLevel="0" collapsed="false">
      <c r="A16" s="12" t="s">
        <v>190</v>
      </c>
      <c r="B16" s="12" t="s">
        <v>167</v>
      </c>
      <c r="C16" s="12" t="s">
        <v>162</v>
      </c>
      <c r="D16" s="26" t="n">
        <v>42999</v>
      </c>
      <c r="E16" s="26" t="n">
        <v>37999</v>
      </c>
      <c r="F16" s="12" t="s">
        <v>141</v>
      </c>
      <c r="G16" s="27" t="s">
        <v>142</v>
      </c>
      <c r="H16" s="12" t="s">
        <v>159</v>
      </c>
      <c r="I16" s="28" t="s">
        <v>144</v>
      </c>
      <c r="J16" s="12" t="s">
        <v>162</v>
      </c>
      <c r="K16" s="12" t="s">
        <v>191</v>
      </c>
      <c r="L16" s="24" t="s">
        <v>60</v>
      </c>
      <c r="M16" s="12" t="s">
        <v>147</v>
      </c>
      <c r="N16" s="15" t="s">
        <v>192</v>
      </c>
      <c r="O16" s="12" t="s">
        <v>193</v>
      </c>
    </row>
    <row r="17" customFormat="false" ht="35.05" hidden="false" customHeight="false" outlineLevel="0" collapsed="false">
      <c r="A17" s="12" t="s">
        <v>190</v>
      </c>
      <c r="B17" s="12" t="s">
        <v>167</v>
      </c>
      <c r="C17" s="12" t="s">
        <v>154</v>
      </c>
      <c r="D17" s="28" t="s">
        <v>144</v>
      </c>
      <c r="E17" s="26" t="n">
        <v>36990</v>
      </c>
      <c r="F17" s="12" t="s">
        <v>141</v>
      </c>
      <c r="G17" s="27" t="s">
        <v>142</v>
      </c>
      <c r="H17" s="12" t="s">
        <v>159</v>
      </c>
      <c r="I17" s="28" t="s">
        <v>144</v>
      </c>
      <c r="J17" s="12" t="s">
        <v>155</v>
      </c>
      <c r="K17" s="12" t="s">
        <v>181</v>
      </c>
      <c r="L17" s="25" t="s">
        <v>194</v>
      </c>
      <c r="M17" s="12" t="s">
        <v>147</v>
      </c>
      <c r="N17" s="15" t="s">
        <v>195</v>
      </c>
      <c r="O17" s="12" t="s">
        <v>196</v>
      </c>
    </row>
    <row r="18" customFormat="false" ht="35.05" hidden="false" customHeight="false" outlineLevel="0" collapsed="false">
      <c r="A18" s="12" t="s">
        <v>190</v>
      </c>
      <c r="B18" s="12" t="s">
        <v>167</v>
      </c>
      <c r="C18" s="12" t="s">
        <v>140</v>
      </c>
      <c r="D18" s="26" t="n">
        <v>42999</v>
      </c>
      <c r="E18" s="26" t="n">
        <v>38990</v>
      </c>
      <c r="F18" s="12" t="s">
        <v>141</v>
      </c>
      <c r="G18" s="27" t="s">
        <v>142</v>
      </c>
      <c r="H18" s="12" t="s">
        <v>159</v>
      </c>
      <c r="I18" s="28" t="s">
        <v>144</v>
      </c>
      <c r="J18" s="12" t="s">
        <v>150</v>
      </c>
      <c r="K18" s="12" t="s">
        <v>197</v>
      </c>
      <c r="L18" s="25" t="s">
        <v>198</v>
      </c>
      <c r="M18" s="12" t="s">
        <v>147</v>
      </c>
      <c r="N18" s="15" t="s">
        <v>199</v>
      </c>
      <c r="O18" s="12" t="s">
        <v>175</v>
      </c>
    </row>
    <row r="19" customFormat="false" ht="35.05" hidden="false" customHeight="false" outlineLevel="0" collapsed="false">
      <c r="A19" s="12" t="s">
        <v>190</v>
      </c>
      <c r="B19" s="12" t="s">
        <v>167</v>
      </c>
      <c r="C19" s="12" t="s">
        <v>158</v>
      </c>
      <c r="D19" s="28" t="s">
        <v>144</v>
      </c>
      <c r="E19" s="26" t="n">
        <v>40999</v>
      </c>
      <c r="F19" s="12" t="s">
        <v>159</v>
      </c>
      <c r="G19" s="12" t="s">
        <v>159</v>
      </c>
      <c r="H19" s="12" t="s">
        <v>159</v>
      </c>
      <c r="I19" s="28" t="s">
        <v>144</v>
      </c>
      <c r="J19" s="12" t="s">
        <v>158</v>
      </c>
      <c r="K19" s="12" t="s">
        <v>181</v>
      </c>
      <c r="L19" s="25" t="s">
        <v>200</v>
      </c>
      <c r="M19" s="12" t="s">
        <v>147</v>
      </c>
      <c r="N19" s="15" t="s">
        <v>201</v>
      </c>
      <c r="O19" s="12" t="s">
        <v>202</v>
      </c>
    </row>
    <row r="20" customFormat="false" ht="35.05" hidden="false" customHeight="false" outlineLevel="0" collapsed="false">
      <c r="A20" s="12" t="s">
        <v>190</v>
      </c>
      <c r="B20" s="12" t="s">
        <v>167</v>
      </c>
      <c r="C20" s="12" t="s">
        <v>164</v>
      </c>
      <c r="D20" s="28" t="s">
        <v>144</v>
      </c>
      <c r="E20" s="28"/>
      <c r="F20" s="12" t="s">
        <v>159</v>
      </c>
      <c r="G20" s="12" t="s">
        <v>159</v>
      </c>
      <c r="H20" s="12" t="s">
        <v>159</v>
      </c>
      <c r="I20" s="28" t="s">
        <v>144</v>
      </c>
      <c r="J20" s="12" t="s">
        <v>159</v>
      </c>
      <c r="K20" s="12" t="s">
        <v>159</v>
      </c>
      <c r="L20" s="30" t="s">
        <v>159</v>
      </c>
      <c r="M20" s="12" t="s">
        <v>147</v>
      </c>
      <c r="N20" s="15" t="s">
        <v>165</v>
      </c>
      <c r="O20" s="12" t="s">
        <v>175</v>
      </c>
    </row>
    <row r="21" customFormat="false" ht="35.05" hidden="false" customHeight="false" outlineLevel="0" collapsed="false">
      <c r="A21" s="12" t="s">
        <v>203</v>
      </c>
      <c r="B21" s="12" t="s">
        <v>167</v>
      </c>
      <c r="C21" s="12" t="s">
        <v>204</v>
      </c>
      <c r="D21" s="28" t="s">
        <v>144</v>
      </c>
      <c r="E21" s="26" t="n">
        <v>36999</v>
      </c>
      <c r="F21" s="12" t="s">
        <v>159</v>
      </c>
      <c r="G21" s="12" t="s">
        <v>159</v>
      </c>
      <c r="H21" s="12" t="s">
        <v>159</v>
      </c>
      <c r="I21" s="28" t="s">
        <v>144</v>
      </c>
      <c r="J21" s="12" t="s">
        <v>159</v>
      </c>
      <c r="K21" s="12" t="s">
        <v>205</v>
      </c>
      <c r="L21" s="25" t="s">
        <v>206</v>
      </c>
      <c r="M21" s="12" t="s">
        <v>147</v>
      </c>
      <c r="N21" s="15" t="s">
        <v>207</v>
      </c>
      <c r="O21" s="12" t="s">
        <v>208</v>
      </c>
    </row>
    <row r="22" customFormat="false" ht="35.05" hidden="false" customHeight="false" outlineLevel="0" collapsed="false">
      <c r="A22" s="12" t="s">
        <v>203</v>
      </c>
      <c r="B22" s="12" t="s">
        <v>167</v>
      </c>
      <c r="C22" s="12" t="s">
        <v>140</v>
      </c>
      <c r="D22" s="28" t="s">
        <v>144</v>
      </c>
      <c r="E22" s="28"/>
      <c r="F22" s="12" t="s">
        <v>159</v>
      </c>
      <c r="G22" s="12" t="s">
        <v>159</v>
      </c>
      <c r="H22" s="12" t="s">
        <v>159</v>
      </c>
      <c r="I22" s="28" t="s">
        <v>144</v>
      </c>
      <c r="J22" s="12" t="s">
        <v>159</v>
      </c>
      <c r="K22" s="12" t="s">
        <v>209</v>
      </c>
      <c r="L22" s="30" t="s">
        <v>144</v>
      </c>
      <c r="M22" s="12" t="s">
        <v>147</v>
      </c>
      <c r="N22" s="15" t="s">
        <v>210</v>
      </c>
      <c r="O22" s="12" t="s">
        <v>211</v>
      </c>
    </row>
    <row r="23" customFormat="false" ht="35.05" hidden="false" customHeight="false" outlineLevel="0" collapsed="false">
      <c r="A23" s="12" t="s">
        <v>212</v>
      </c>
      <c r="B23" s="12" t="s">
        <v>167</v>
      </c>
      <c r="C23" s="12" t="s">
        <v>154</v>
      </c>
      <c r="D23" s="28" t="s">
        <v>144</v>
      </c>
      <c r="E23" s="26" t="n">
        <v>39999</v>
      </c>
      <c r="F23" s="12" t="s">
        <v>141</v>
      </c>
      <c r="G23" s="27" t="s">
        <v>142</v>
      </c>
      <c r="H23" s="12" t="s">
        <v>159</v>
      </c>
      <c r="I23" s="28" t="s">
        <v>144</v>
      </c>
      <c r="J23" s="12" t="s">
        <v>154</v>
      </c>
      <c r="K23" s="12" t="s">
        <v>181</v>
      </c>
      <c r="L23" s="25" t="s">
        <v>213</v>
      </c>
      <c r="M23" s="12" t="s">
        <v>147</v>
      </c>
      <c r="N23" s="15" t="s">
        <v>214</v>
      </c>
      <c r="O23" s="12" t="s">
        <v>215</v>
      </c>
    </row>
    <row r="24" customFormat="false" ht="35.05" hidden="false" customHeight="false" outlineLevel="0" collapsed="false">
      <c r="A24" s="12" t="s">
        <v>212</v>
      </c>
      <c r="B24" s="12" t="s">
        <v>167</v>
      </c>
      <c r="C24" s="12" t="s">
        <v>174</v>
      </c>
      <c r="D24" s="28" t="s">
        <v>144</v>
      </c>
      <c r="E24" s="28"/>
      <c r="F24" s="12" t="s">
        <v>159</v>
      </c>
      <c r="G24" s="12" t="s">
        <v>159</v>
      </c>
      <c r="H24" s="12" t="s">
        <v>159</v>
      </c>
      <c r="I24" s="28" t="s">
        <v>144</v>
      </c>
      <c r="J24" s="12" t="s">
        <v>159</v>
      </c>
      <c r="K24" s="12" t="s">
        <v>159</v>
      </c>
      <c r="L24" s="30" t="s">
        <v>159</v>
      </c>
      <c r="M24" s="12" t="s">
        <v>147</v>
      </c>
      <c r="N24" s="15" t="s">
        <v>216</v>
      </c>
      <c r="O24" s="12" t="s">
        <v>217</v>
      </c>
    </row>
    <row r="25" customFormat="false" ht="35.05" hidden="false" customHeight="false" outlineLevel="0" collapsed="false">
      <c r="A25" s="12" t="s">
        <v>218</v>
      </c>
      <c r="B25" s="12" t="s">
        <v>219</v>
      </c>
      <c r="C25" s="12" t="s">
        <v>154</v>
      </c>
      <c r="D25" s="26" t="n">
        <v>44990</v>
      </c>
      <c r="E25" s="26" t="n">
        <v>38990</v>
      </c>
      <c r="F25" s="12" t="s">
        <v>141</v>
      </c>
      <c r="G25" s="27" t="s">
        <v>142</v>
      </c>
      <c r="H25" s="12" t="s">
        <v>159</v>
      </c>
      <c r="I25" s="28" t="s">
        <v>144</v>
      </c>
      <c r="J25" s="12" t="s">
        <v>155</v>
      </c>
      <c r="K25" s="12" t="s">
        <v>181</v>
      </c>
      <c r="L25" s="24" t="s">
        <v>60</v>
      </c>
      <c r="M25" s="12" t="s">
        <v>147</v>
      </c>
      <c r="N25" s="15" t="s">
        <v>220</v>
      </c>
      <c r="O25" s="12" t="s">
        <v>221</v>
      </c>
    </row>
    <row r="26" customFormat="false" ht="35.05" hidden="false" customHeight="false" outlineLevel="0" collapsed="false">
      <c r="A26" s="12" t="s">
        <v>218</v>
      </c>
      <c r="B26" s="12" t="s">
        <v>219</v>
      </c>
      <c r="C26" s="12" t="s">
        <v>140</v>
      </c>
      <c r="D26" s="28" t="s">
        <v>144</v>
      </c>
      <c r="E26" s="26" t="n">
        <v>44999</v>
      </c>
      <c r="F26" s="12" t="s">
        <v>159</v>
      </c>
      <c r="G26" s="12" t="s">
        <v>159</v>
      </c>
      <c r="H26" s="12" t="s">
        <v>159</v>
      </c>
      <c r="I26" s="28" t="s">
        <v>144</v>
      </c>
      <c r="J26" s="12" t="s">
        <v>150</v>
      </c>
      <c r="K26" s="12" t="s">
        <v>181</v>
      </c>
      <c r="L26" s="25" t="s">
        <v>222</v>
      </c>
      <c r="M26" s="12" t="s">
        <v>147</v>
      </c>
      <c r="N26" s="15" t="s">
        <v>223</v>
      </c>
      <c r="O26" s="12" t="s">
        <v>224</v>
      </c>
    </row>
    <row r="27" customFormat="false" ht="35.05" hidden="false" customHeight="false" outlineLevel="0" collapsed="false">
      <c r="A27" s="12" t="s">
        <v>225</v>
      </c>
      <c r="B27" s="12" t="s">
        <v>167</v>
      </c>
      <c r="C27" s="12" t="s">
        <v>154</v>
      </c>
      <c r="D27" s="28" t="s">
        <v>144</v>
      </c>
      <c r="E27" s="26" t="n">
        <v>39999</v>
      </c>
      <c r="F27" s="27" t="s">
        <v>226</v>
      </c>
      <c r="G27" s="27" t="s">
        <v>142</v>
      </c>
      <c r="H27" s="12" t="s">
        <v>159</v>
      </c>
      <c r="I27" s="29" t="n">
        <v>36999</v>
      </c>
      <c r="J27" s="12" t="s">
        <v>154</v>
      </c>
      <c r="K27" s="12" t="s">
        <v>181</v>
      </c>
      <c r="L27" s="25" t="s">
        <v>227</v>
      </c>
      <c r="M27" s="12" t="s">
        <v>147</v>
      </c>
      <c r="N27" s="15" t="s">
        <v>228</v>
      </c>
      <c r="O27" s="12" t="s">
        <v>229</v>
      </c>
    </row>
    <row r="28" customFormat="false" ht="35.05" hidden="false" customHeight="false" outlineLevel="0" collapsed="false">
      <c r="A28" s="12" t="s">
        <v>230</v>
      </c>
      <c r="B28" s="12" t="s">
        <v>167</v>
      </c>
      <c r="C28" s="12" t="s">
        <v>140</v>
      </c>
      <c r="D28" s="28" t="s">
        <v>144</v>
      </c>
      <c r="E28" s="26" t="n">
        <v>42985</v>
      </c>
      <c r="F28" s="12" t="s">
        <v>159</v>
      </c>
      <c r="G28" s="12" t="s">
        <v>159</v>
      </c>
      <c r="H28" s="12" t="s">
        <v>159</v>
      </c>
      <c r="I28" s="28" t="s">
        <v>144</v>
      </c>
      <c r="J28" s="12" t="s">
        <v>150</v>
      </c>
      <c r="K28" s="12" t="s">
        <v>181</v>
      </c>
      <c r="L28" s="25" t="s">
        <v>231</v>
      </c>
      <c r="M28" s="12" t="s">
        <v>147</v>
      </c>
      <c r="N28" s="15" t="s">
        <v>232</v>
      </c>
      <c r="O28" s="12" t="s">
        <v>233</v>
      </c>
    </row>
    <row r="29" customFormat="false" ht="35.05" hidden="false" customHeight="false" outlineLevel="0" collapsed="false">
      <c r="A29" s="12" t="s">
        <v>230</v>
      </c>
      <c r="B29" s="12" t="s">
        <v>167</v>
      </c>
      <c r="C29" s="12" t="s">
        <v>154</v>
      </c>
      <c r="D29" s="28" t="s">
        <v>144</v>
      </c>
      <c r="E29" s="26" t="n">
        <v>42999</v>
      </c>
      <c r="F29" s="12" t="s">
        <v>159</v>
      </c>
      <c r="G29" s="12" t="s">
        <v>159</v>
      </c>
      <c r="H29" s="12" t="s">
        <v>159</v>
      </c>
      <c r="I29" s="28" t="s">
        <v>144</v>
      </c>
      <c r="J29" s="12" t="s">
        <v>154</v>
      </c>
      <c r="K29" s="12" t="s">
        <v>181</v>
      </c>
      <c r="L29" s="25" t="s">
        <v>231</v>
      </c>
      <c r="M29" s="12" t="s">
        <v>147</v>
      </c>
      <c r="N29" s="15" t="s">
        <v>232</v>
      </c>
      <c r="O29" s="12" t="s">
        <v>234</v>
      </c>
    </row>
    <row r="31" customFormat="false" ht="15" hidden="false" customHeight="false" outlineLevel="0" collapsed="false">
      <c r="A31" s="3" t="s">
        <v>235</v>
      </c>
    </row>
    <row r="32" customFormat="false" ht="31.5" hidden="false" customHeight="true" outlineLevel="0" collapsed="false">
      <c r="A32" s="5" t="s">
        <v>22</v>
      </c>
      <c r="B32" s="5" t="s">
        <v>6</v>
      </c>
      <c r="C32" s="5" t="s">
        <v>236</v>
      </c>
      <c r="D32" s="5" t="s">
        <v>237</v>
      </c>
      <c r="E32" s="5" t="s">
        <v>238</v>
      </c>
    </row>
    <row r="33" customFormat="false" ht="15" hidden="false" customHeight="false" outlineLevel="0" collapsed="false">
      <c r="A33" s="12" t="s">
        <v>138</v>
      </c>
      <c r="B33" s="12" t="s">
        <v>149</v>
      </c>
      <c r="C33" s="13" t="n">
        <f aca="false">_xlfn.MINIFS($E$5:$E$29,$A$5:$A$29,A33,$B$5:$B$29,B33)</f>
        <v>36999</v>
      </c>
      <c r="D33" s="31" t="str">
        <f aca="false">IF(C33&lt;=40000,"Yes","No")</f>
        <v>Yes</v>
      </c>
      <c r="E33" s="13" t="n">
        <f aca="false">C33-$C$33</f>
        <v>0</v>
      </c>
    </row>
    <row r="34" customFormat="false" ht="15" hidden="false" customHeight="false" outlineLevel="0" collapsed="false">
      <c r="A34" s="12" t="s">
        <v>166</v>
      </c>
      <c r="B34" s="12" t="s">
        <v>167</v>
      </c>
      <c r="C34" s="13" t="n">
        <f aca="false">_xlfn.MINIFS($E$5:$E$29,$A$5:$A$29,A34,$B$5:$B$29,B34)</f>
        <v>33999</v>
      </c>
      <c r="D34" s="31" t="str">
        <f aca="false">IF(C34&lt;=40000,"Yes","No")</f>
        <v>Yes</v>
      </c>
      <c r="E34" s="13" t="n">
        <f aca="false">C34-$C$33</f>
        <v>-3000</v>
      </c>
    </row>
    <row r="35" customFormat="false" ht="15" hidden="false" customHeight="false" outlineLevel="0" collapsed="false">
      <c r="A35" s="12" t="s">
        <v>180</v>
      </c>
      <c r="B35" s="12" t="s">
        <v>167</v>
      </c>
      <c r="C35" s="13" t="n">
        <f aca="false">_xlfn.MINIFS($E$5:$E$29,$A$5:$A$29,A35,$B$5:$B$29,B35)</f>
        <v>27990</v>
      </c>
      <c r="D35" s="31" t="str">
        <f aca="false">IF(C35&lt;=40000,"Yes","No")</f>
        <v>Yes</v>
      </c>
      <c r="E35" s="13" t="n">
        <f aca="false">C35-$C$33</f>
        <v>-9009</v>
      </c>
    </row>
    <row r="36" customFormat="false" ht="15" hidden="false" customHeight="false" outlineLevel="0" collapsed="false">
      <c r="A36" s="12" t="s">
        <v>190</v>
      </c>
      <c r="B36" s="12" t="s">
        <v>167</v>
      </c>
      <c r="C36" s="13" t="n">
        <f aca="false">_xlfn.MINIFS($E$5:$E$29,$A$5:$A$29,A36,$B$5:$B$29,B36)</f>
        <v>36990</v>
      </c>
      <c r="D36" s="31" t="str">
        <f aca="false">IF(C36&lt;=40000,"Yes","No")</f>
        <v>Yes</v>
      </c>
      <c r="E36" s="13" t="n">
        <f aca="false">C36-$C$33</f>
        <v>-9</v>
      </c>
    </row>
    <row r="37" customFormat="false" ht="15" hidden="false" customHeight="false" outlineLevel="0" collapsed="false">
      <c r="A37" s="12" t="s">
        <v>203</v>
      </c>
      <c r="B37" s="12" t="s">
        <v>167</v>
      </c>
      <c r="C37" s="13" t="n">
        <f aca="false">_xlfn.MINIFS($E$5:$E$29,$A$5:$A$29,A37,$B$5:$B$29,B37)</f>
        <v>36999</v>
      </c>
      <c r="D37" s="31" t="str">
        <f aca="false">IF(C37&lt;=40000,"Yes","No")</f>
        <v>Yes</v>
      </c>
      <c r="E37" s="13" t="n">
        <f aca="false">C37-$C$33</f>
        <v>0</v>
      </c>
    </row>
    <row r="38" customFormat="false" ht="15" hidden="false" customHeight="false" outlineLevel="0" collapsed="false">
      <c r="A38" s="12" t="s">
        <v>212</v>
      </c>
      <c r="B38" s="12" t="s">
        <v>167</v>
      </c>
      <c r="C38" s="13" t="n">
        <f aca="false">_xlfn.MINIFS($E$5:$E$29,$A$5:$A$29,A38,$B$5:$B$29,B38)</f>
        <v>39999</v>
      </c>
      <c r="D38" s="31" t="str">
        <f aca="false">IF(C38&lt;=40000,"Yes","No")</f>
        <v>Yes</v>
      </c>
      <c r="E38" s="13" t="n">
        <f aca="false">C38-$C$33</f>
        <v>3000</v>
      </c>
    </row>
    <row r="39" customFormat="false" ht="15" hidden="false" customHeight="false" outlineLevel="0" collapsed="false">
      <c r="A39" s="12" t="s">
        <v>218</v>
      </c>
      <c r="B39" s="12" t="s">
        <v>219</v>
      </c>
      <c r="C39" s="13" t="n">
        <f aca="false">_xlfn.MINIFS($E$5:$E$29,$A$5:$A$29,A39,$B$5:$B$29,B39)</f>
        <v>38990</v>
      </c>
      <c r="D39" s="31" t="str">
        <f aca="false">IF(C39&lt;=40000,"Yes","No")</f>
        <v>Yes</v>
      </c>
      <c r="E39" s="13" t="n">
        <f aca="false">C39-$C$33</f>
        <v>1991</v>
      </c>
    </row>
    <row r="40" customFormat="false" ht="15" hidden="false" customHeight="false" outlineLevel="0" collapsed="false">
      <c r="A40" s="12" t="s">
        <v>225</v>
      </c>
      <c r="B40" s="12" t="s">
        <v>167</v>
      </c>
      <c r="C40" s="13" t="n">
        <f aca="false">_xlfn.MINIFS($E$5:$E$29,$A$5:$A$29,A40,$B$5:$B$29,B40)</f>
        <v>39999</v>
      </c>
      <c r="D40" s="31" t="str">
        <f aca="false">IF(C40&lt;=40000,"Yes","No")</f>
        <v>Yes</v>
      </c>
      <c r="E40" s="13" t="n">
        <f aca="false">C40-$C$33</f>
        <v>3000</v>
      </c>
    </row>
    <row r="41" customFormat="false" ht="15" hidden="false" customHeight="false" outlineLevel="0" collapsed="false">
      <c r="A41" s="12" t="s">
        <v>230</v>
      </c>
      <c r="B41" s="12" t="s">
        <v>167</v>
      </c>
      <c r="C41" s="13" t="n">
        <f aca="false">_xlfn.MINIFS($E$5:$E$29,$A$5:$A$29,A41,$B$5:$B$29,B41)</f>
        <v>42985</v>
      </c>
      <c r="D41" s="31" t="str">
        <f aca="false">IF(C41&lt;=40000,"Yes","No")</f>
        <v>No</v>
      </c>
      <c r="E41" s="13" t="n">
        <f aca="false">C41-$C$33</f>
        <v>5986</v>
      </c>
    </row>
    <row r="43" customFormat="false" ht="15" hidden="false" customHeight="false" outlineLevel="0" collapsed="false">
      <c r="A43" s="3" t="s">
        <v>31</v>
      </c>
    </row>
    <row r="44" customFormat="false" ht="15" hidden="false" customHeight="false" outlineLevel="0" collapsed="false">
      <c r="A44" s="18" t="s">
        <v>32</v>
      </c>
    </row>
    <row r="45" customFormat="false" ht="15" hidden="false" customHeight="false" outlineLevel="0" collapsed="false">
      <c r="A45" s="19" t="s">
        <v>33</v>
      </c>
    </row>
    <row r="46" customFormat="false" ht="15" hidden="false" customHeight="false" outlineLevel="0" collapsed="false">
      <c r="A46" s="20" t="s">
        <v>34</v>
      </c>
    </row>
    <row r="47" customFormat="false" ht="15" hidden="false" customHeight="false" outlineLevel="0" collapsed="false">
      <c r="A47" s="21" t="s">
        <v>35</v>
      </c>
    </row>
    <row r="48" customFormat="false" ht="15" hidden="false" customHeight="false" outlineLevel="0" collapsed="false">
      <c r="A48" s="22" t="s">
        <v>36</v>
      </c>
    </row>
    <row r="49" customFormat="false" ht="15" hidden="false" customHeight="false" outlineLevel="0" collapsed="false">
      <c r="A49" s="23" t="s">
        <v>37</v>
      </c>
    </row>
  </sheetData>
  <mergeCells count="2">
    <mergeCell ref="A1:O1"/>
    <mergeCell ref="A2:O2"/>
  </mergeCells>
  <conditionalFormatting sqref="E5:E29">
    <cfRule type="cellIs" priority="2" operator="greaterThan" aboveAverage="0" equalAverage="0" bottom="0" percent="0" rank="0" text="" dxfId="9">
      <formula>40000</formula>
    </cfRule>
  </conditionalFormatting>
  <conditionalFormatting sqref="C33:C41">
    <cfRule type="expression" priority="3" aboveAverage="0" equalAverage="0" bottom="0" percent="0" rank="0" text="" dxfId="10">
      <formula>C33=MIN($C$33:$C$41)</formula>
    </cfRule>
  </conditionalFormatting>
  <conditionalFormatting sqref="D33:D41">
    <cfRule type="cellIs" priority="4" operator="equal" aboveAverage="0" equalAverage="0" bottom="0" percent="0" rank="0" text="" dxfId="9">
      <formula>"No"</formula>
    </cfRule>
  </conditionalFormatting>
  <hyperlinks>
    <hyperlink ref="N5" r:id="rId1" display="https://www.amazon.in/OnePlus-Snapdragon-Segments-Fastest-Response/dp/B0GWLHVJRH"/>
    <hyperlink ref="N6" r:id="rId2" display="https://www.mysmartprice.com/mobile/oneplus-nord-ce-6-5g-256gb-msp620884"/>
    <hyperlink ref="N7" r:id="rId3" display="https://www.flipkart.com/oneplus-nord-ce6-pitch-black-128-gb/p/itmd7b224b18cb05"/>
    <hyperlink ref="N8" r:id="rId4" display="https://www.croma.com/"/>
    <hyperlink ref="N9" r:id="rId5" display="https://www.reliancedigital.in/"/>
    <hyperlink ref="N10" r:id="rId6" display="https://www.vijaysales.com/"/>
    <hyperlink ref="N11" r:id="rId7" display="https://www.flipkart.com/oppo-k13-turbo-pro-5g-silver-knight-256-gb/p/itmeefeb718f01fe"/>
    <hyperlink ref="N12" r:id="rId8" display="https://www.flipkart.com/search?q=oppo+k13+turbo+pro"/>
    <hyperlink ref="N13" r:id="rId9" display="https://www.91mobiles.com/iqoo-neo-10r-price-in-india"/>
    <hyperlink ref="N14" r:id="rId10" display="https://pricehistory.app/p/iqoo-neo-10r-5g-raging-blue-12gb-xlkyfzSj"/>
    <hyperlink ref="N15" r:id="rId11" display="https://www.croma.com/"/>
    <hyperlink ref="N16" r:id="rId12" display="https://www.reliancedigital.in/product/realme-gt-7t-5g-256-gb-12-gb-ram-blue-mobile-phone-mbgan1-9247285"/>
    <hyperlink ref="N17" r:id="rId13" display="https://www.91mobiles.com/realme-gt-7t-price-in-india"/>
    <hyperlink ref="N18" r:id="rId14" display="https://www.amazon.in/realme-IceSense-MediaTek-Strongest-Graphene/dp/B0F6YWDMXF"/>
    <hyperlink ref="N19" r:id="rId15" display="https://www.smartprix.com/mobiles/realme-gt-7t-12gb-ram-256gb-ppd1gzorx7ts"/>
    <hyperlink ref="N20" r:id="rId16" display="https://www.vijaysales.com/"/>
    <hyperlink ref="N21" r:id="rId17" display="https://www.bajajfinserv.in/oneplus-nord-5-price-in-india"/>
    <hyperlink ref="N22" r:id="rId18" display="https://www.amazon.in/oneplus-nord-5-12gb-256gb/s?k=oneplus+nord+5+12gb+256gb"/>
    <hyperlink ref="N23" r:id="rId19" display="https://www.smartprix.com/mobiles/poco-x8-pro-5g-12gb-ram-256gb-ppd15mvem8mu"/>
    <hyperlink ref="N24" r:id="rId20" display="https://www.91mobiles.com/poco-x8-pro-price-in-india"/>
    <hyperlink ref="N25" r:id="rId21" display="https://www.flipkart.com/redmi-note-15-pro-5g-carbon-black-512-gb/p/itm3174106e5bf60"/>
    <hyperlink ref="N26" r:id="rId22" display="https://www.91mobiles.com/xiaomi-redmi-note-15-pro-plus-price-in-india"/>
    <hyperlink ref="N27" r:id="rId23" display="https://www.91mobiles.com/vivo-t5-pro-price-in-india"/>
    <hyperlink ref="N28" r:id="rId24" display="https://www.91mobiles.com/motorola-edge-70-pro-5g-price-in-india"/>
    <hyperlink ref="N29" r:id="rId25" display="https://www.91mobiles.com/motorola-edge-70-pro-5g-price-in-india"/>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2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J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0" min="2" style="0" width="20"/>
  </cols>
  <sheetData>
    <row r="1" customFormat="false" ht="30" hidden="false" customHeight="true" outlineLevel="0" collapsed="false">
      <c r="A1" s="1" t="s">
        <v>239</v>
      </c>
      <c r="B1" s="1"/>
      <c r="C1" s="1"/>
      <c r="D1" s="1"/>
      <c r="E1" s="1"/>
      <c r="F1" s="1"/>
      <c r="G1" s="1"/>
      <c r="H1" s="1"/>
      <c r="I1" s="1"/>
      <c r="J1" s="1"/>
    </row>
    <row r="2" customFormat="false" ht="42" hidden="false" customHeight="true" outlineLevel="0" collapsed="false">
      <c r="A2" s="2" t="s">
        <v>240</v>
      </c>
      <c r="B2" s="2"/>
      <c r="C2" s="2"/>
      <c r="D2" s="2"/>
      <c r="E2" s="2"/>
      <c r="F2" s="2"/>
      <c r="G2" s="2"/>
      <c r="H2" s="2"/>
      <c r="I2" s="2"/>
      <c r="J2" s="2"/>
    </row>
    <row r="4" customFormat="false" ht="31.5" hidden="false" customHeight="true" outlineLevel="0" collapsed="false">
      <c r="A4" s="5" t="s">
        <v>241</v>
      </c>
      <c r="B4" s="5" t="s">
        <v>242</v>
      </c>
      <c r="C4" s="5" t="s">
        <v>166</v>
      </c>
      <c r="D4" s="5" t="s">
        <v>180</v>
      </c>
      <c r="E4" s="5" t="s">
        <v>190</v>
      </c>
      <c r="F4" s="5" t="s">
        <v>203</v>
      </c>
      <c r="G4" s="5" t="s">
        <v>212</v>
      </c>
      <c r="H4" s="5" t="s">
        <v>218</v>
      </c>
      <c r="I4" s="5" t="s">
        <v>225</v>
      </c>
      <c r="J4" s="5" t="s">
        <v>243</v>
      </c>
    </row>
    <row r="5" customFormat="false" ht="15" hidden="false" customHeight="false" outlineLevel="0" collapsed="false">
      <c r="A5" s="32" t="s">
        <v>244</v>
      </c>
      <c r="B5" s="33"/>
      <c r="C5" s="33"/>
      <c r="D5" s="33"/>
      <c r="E5" s="33"/>
      <c r="F5" s="33"/>
      <c r="G5" s="33"/>
      <c r="H5" s="33"/>
      <c r="I5" s="33"/>
      <c r="J5" s="33"/>
    </row>
    <row r="6" customFormat="false" ht="15" hidden="false" customHeight="false" outlineLevel="0" collapsed="false">
      <c r="A6" s="11" t="s">
        <v>245</v>
      </c>
      <c r="B6" s="12" t="s">
        <v>149</v>
      </c>
      <c r="C6" s="12" t="s">
        <v>167</v>
      </c>
      <c r="D6" s="12" t="s">
        <v>167</v>
      </c>
      <c r="E6" s="12" t="s">
        <v>167</v>
      </c>
      <c r="F6" s="12" t="s">
        <v>167</v>
      </c>
      <c r="G6" s="12" t="s">
        <v>167</v>
      </c>
      <c r="H6" s="12" t="s">
        <v>219</v>
      </c>
      <c r="I6" s="12" t="s">
        <v>167</v>
      </c>
      <c r="J6" s="12" t="s">
        <v>167</v>
      </c>
    </row>
    <row r="7" customFormat="false" ht="15" hidden="false" customHeight="false" outlineLevel="0" collapsed="false">
      <c r="A7" s="11" t="s">
        <v>246</v>
      </c>
      <c r="B7" s="26" t="n">
        <f aca="false">Scorecard!G5</f>
        <v>36999</v>
      </c>
      <c r="C7" s="26" t="n">
        <f aca="false">Scorecard!G6</f>
        <v>33999</v>
      </c>
      <c r="D7" s="26" t="n">
        <f aca="false">Scorecard!G7</f>
        <v>27990</v>
      </c>
      <c r="E7" s="26" t="n">
        <f aca="false">Scorecard!G8</f>
        <v>37999</v>
      </c>
      <c r="F7" s="26" t="n">
        <f aca="false">Scorecard!G9</f>
        <v>36999</v>
      </c>
      <c r="G7" s="26" t="n">
        <f aca="false">Scorecard!G10</f>
        <v>39999</v>
      </c>
      <c r="H7" s="26" t="n">
        <f aca="false">Scorecard!G11</f>
        <v>38990</v>
      </c>
      <c r="I7" s="26" t="n">
        <f aca="false">Scorecard!G12</f>
        <v>39999</v>
      </c>
      <c r="J7" s="26" t="n">
        <f aca="false">Scorecard!G13</f>
        <v>42985</v>
      </c>
    </row>
    <row r="8" customFormat="false" ht="15" hidden="false" customHeight="false" outlineLevel="0" collapsed="false">
      <c r="A8" s="11" t="s">
        <v>247</v>
      </c>
      <c r="B8" s="12" t="s">
        <v>248</v>
      </c>
      <c r="C8" s="12" t="s">
        <v>249</v>
      </c>
      <c r="D8" s="12" t="s">
        <v>250</v>
      </c>
      <c r="E8" s="12" t="s">
        <v>251</v>
      </c>
      <c r="F8" s="12" t="s">
        <v>252</v>
      </c>
      <c r="G8" s="12" t="s">
        <v>253</v>
      </c>
      <c r="H8" s="12" t="s">
        <v>254</v>
      </c>
      <c r="I8" s="12" t="s">
        <v>255</v>
      </c>
      <c r="J8" s="12" t="s">
        <v>255</v>
      </c>
    </row>
    <row r="9" customFormat="false" ht="23.85" hidden="false" customHeight="false" outlineLevel="0" collapsed="false">
      <c r="A9" s="11" t="s">
        <v>116</v>
      </c>
      <c r="B9" s="12" t="s">
        <v>256</v>
      </c>
      <c r="C9" s="12" t="s">
        <v>257</v>
      </c>
      <c r="D9" s="12" t="s">
        <v>257</v>
      </c>
      <c r="E9" s="12" t="s">
        <v>257</v>
      </c>
      <c r="F9" s="12" t="s">
        <v>257</v>
      </c>
      <c r="G9" s="12" t="s">
        <v>257</v>
      </c>
      <c r="H9" s="12" t="s">
        <v>257</v>
      </c>
      <c r="I9" s="12" t="s">
        <v>257</v>
      </c>
      <c r="J9" s="12" t="s">
        <v>257</v>
      </c>
    </row>
    <row r="10" customFormat="false" ht="15" hidden="false" customHeight="false" outlineLevel="0" collapsed="false">
      <c r="A10" s="32" t="s">
        <v>258</v>
      </c>
      <c r="B10" s="33"/>
      <c r="C10" s="33"/>
      <c r="D10" s="33"/>
      <c r="E10" s="33"/>
      <c r="F10" s="33"/>
      <c r="G10" s="33"/>
      <c r="H10" s="33"/>
      <c r="I10" s="33"/>
      <c r="J10" s="33"/>
    </row>
    <row r="11" customFormat="false" ht="23.85" hidden="false" customHeight="false" outlineLevel="0" collapsed="false">
      <c r="A11" s="11" t="s">
        <v>73</v>
      </c>
      <c r="B11" s="12" t="s">
        <v>259</v>
      </c>
      <c r="C11" s="12" t="s">
        <v>260</v>
      </c>
      <c r="D11" s="12" t="s">
        <v>261</v>
      </c>
      <c r="E11" s="12" t="s">
        <v>262</v>
      </c>
      <c r="F11" s="12" t="s">
        <v>261</v>
      </c>
      <c r="G11" s="12" t="s">
        <v>263</v>
      </c>
      <c r="H11" s="12" t="s">
        <v>259</v>
      </c>
      <c r="I11" s="12" t="s">
        <v>259</v>
      </c>
      <c r="J11" s="12" t="s">
        <v>264</v>
      </c>
    </row>
    <row r="12" customFormat="false" ht="15" hidden="false" customHeight="false" outlineLevel="0" collapsed="false">
      <c r="A12" s="11" t="s">
        <v>265</v>
      </c>
      <c r="B12" s="12" t="s">
        <v>266</v>
      </c>
      <c r="C12" s="12" t="s">
        <v>267</v>
      </c>
      <c r="D12" s="12" t="s">
        <v>267</v>
      </c>
      <c r="E12" s="12" t="s">
        <v>267</v>
      </c>
      <c r="F12" s="12" t="s">
        <v>267</v>
      </c>
      <c r="G12" s="12" t="s">
        <v>267</v>
      </c>
      <c r="H12" s="12" t="s">
        <v>268</v>
      </c>
      <c r="I12" s="12" t="s">
        <v>268</v>
      </c>
      <c r="J12" s="12" t="s">
        <v>267</v>
      </c>
    </row>
    <row r="13" customFormat="false" ht="23.85" hidden="false" customHeight="false" outlineLevel="0" collapsed="false">
      <c r="A13" s="11" t="s">
        <v>269</v>
      </c>
      <c r="B13" s="12" t="s">
        <v>270</v>
      </c>
      <c r="C13" s="12" t="s">
        <v>271</v>
      </c>
      <c r="D13" s="12" t="s">
        <v>272</v>
      </c>
      <c r="E13" s="12" t="s">
        <v>271</v>
      </c>
      <c r="F13" s="12" t="s">
        <v>271</v>
      </c>
      <c r="G13" s="12" t="s">
        <v>272</v>
      </c>
      <c r="H13" s="12" t="s">
        <v>273</v>
      </c>
      <c r="I13" s="12" t="s">
        <v>274</v>
      </c>
      <c r="J13" s="12" t="s">
        <v>272</v>
      </c>
    </row>
    <row r="14" customFormat="false" ht="15" hidden="false" customHeight="false" outlineLevel="0" collapsed="false">
      <c r="A14" s="11" t="s">
        <v>275</v>
      </c>
      <c r="B14" s="12" t="s">
        <v>276</v>
      </c>
      <c r="C14" s="12" t="s">
        <v>276</v>
      </c>
      <c r="D14" s="12" t="s">
        <v>276</v>
      </c>
      <c r="E14" s="12" t="s">
        <v>276</v>
      </c>
      <c r="F14" s="12" t="s">
        <v>276</v>
      </c>
      <c r="G14" s="12" t="s">
        <v>276</v>
      </c>
      <c r="H14" s="12" t="s">
        <v>276</v>
      </c>
      <c r="I14" s="12" t="s">
        <v>276</v>
      </c>
      <c r="J14" s="12" t="s">
        <v>276</v>
      </c>
    </row>
    <row r="15" customFormat="false" ht="23.85" hidden="false" customHeight="false" outlineLevel="0" collapsed="false">
      <c r="A15" s="11" t="s">
        <v>277</v>
      </c>
      <c r="B15" s="12" t="s">
        <v>278</v>
      </c>
      <c r="C15" s="12" t="s">
        <v>278</v>
      </c>
      <c r="D15" s="12" t="s">
        <v>278</v>
      </c>
      <c r="E15" s="12" t="s">
        <v>278</v>
      </c>
      <c r="F15" s="12" t="s">
        <v>278</v>
      </c>
      <c r="G15" s="12" t="s">
        <v>278</v>
      </c>
      <c r="H15" s="12" t="s">
        <v>278</v>
      </c>
      <c r="I15" s="12" t="s">
        <v>278</v>
      </c>
      <c r="J15" s="12" t="s">
        <v>278</v>
      </c>
    </row>
    <row r="16" customFormat="false" ht="15" hidden="false" customHeight="false" outlineLevel="0" collapsed="false">
      <c r="A16" s="32" t="s">
        <v>279</v>
      </c>
      <c r="B16" s="33"/>
      <c r="C16" s="33"/>
      <c r="D16" s="33"/>
      <c r="E16" s="33"/>
      <c r="F16" s="33"/>
      <c r="G16" s="33"/>
      <c r="H16" s="33"/>
      <c r="I16" s="33"/>
      <c r="J16" s="33"/>
    </row>
    <row r="17" customFormat="false" ht="15" hidden="false" customHeight="false" outlineLevel="0" collapsed="false">
      <c r="A17" s="11" t="s">
        <v>280</v>
      </c>
      <c r="B17" s="12" t="s">
        <v>281</v>
      </c>
      <c r="C17" s="12" t="s">
        <v>282</v>
      </c>
      <c r="D17" s="12" t="s">
        <v>281</v>
      </c>
      <c r="E17" s="12" t="s">
        <v>282</v>
      </c>
      <c r="F17" s="12" t="s">
        <v>283</v>
      </c>
      <c r="G17" s="12" t="s">
        <v>284</v>
      </c>
      <c r="H17" s="12" t="s">
        <v>283</v>
      </c>
      <c r="I17" s="12" t="s">
        <v>283</v>
      </c>
      <c r="J17" s="12" t="s">
        <v>285</v>
      </c>
    </row>
    <row r="18" customFormat="false" ht="15" hidden="false" customHeight="false" outlineLevel="0" collapsed="false">
      <c r="A18" s="11" t="s">
        <v>286</v>
      </c>
      <c r="B18" s="12" t="s">
        <v>287</v>
      </c>
      <c r="C18" s="12" t="s">
        <v>287</v>
      </c>
      <c r="D18" s="12" t="s">
        <v>287</v>
      </c>
      <c r="E18" s="12" t="s">
        <v>287</v>
      </c>
      <c r="F18" s="12" t="s">
        <v>287</v>
      </c>
      <c r="G18" s="12" t="s">
        <v>287</v>
      </c>
      <c r="H18" s="12" t="s">
        <v>287</v>
      </c>
      <c r="I18" s="12" t="s">
        <v>287</v>
      </c>
      <c r="J18" s="12" t="s">
        <v>287</v>
      </c>
    </row>
    <row r="19" customFormat="false" ht="15" hidden="false" customHeight="false" outlineLevel="0" collapsed="false">
      <c r="A19" s="11" t="s">
        <v>288</v>
      </c>
      <c r="B19" s="12" t="s">
        <v>289</v>
      </c>
      <c r="C19" s="12" t="s">
        <v>290</v>
      </c>
      <c r="D19" s="12" t="s">
        <v>291</v>
      </c>
      <c r="E19" s="12" t="s">
        <v>290</v>
      </c>
      <c r="F19" s="12" t="s">
        <v>289</v>
      </c>
      <c r="G19" s="12" t="s">
        <v>290</v>
      </c>
      <c r="H19" s="12" t="s">
        <v>290</v>
      </c>
      <c r="I19" s="12" t="s">
        <v>289</v>
      </c>
      <c r="J19" s="12" t="s">
        <v>289</v>
      </c>
    </row>
    <row r="20" customFormat="false" ht="46.25" hidden="false" customHeight="false" outlineLevel="0" collapsed="false">
      <c r="A20" s="11" t="s">
        <v>292</v>
      </c>
      <c r="B20" s="12" t="s">
        <v>293</v>
      </c>
      <c r="C20" s="12" t="s">
        <v>294</v>
      </c>
      <c r="D20" s="12" t="s">
        <v>295</v>
      </c>
      <c r="E20" s="12" t="s">
        <v>296</v>
      </c>
      <c r="F20" s="12" t="s">
        <v>297</v>
      </c>
      <c r="G20" s="12" t="s">
        <v>298</v>
      </c>
      <c r="H20" s="30" t="s">
        <v>159</v>
      </c>
      <c r="I20" s="12" t="s">
        <v>299</v>
      </c>
      <c r="J20" s="12" t="s">
        <v>300</v>
      </c>
    </row>
    <row r="21" customFormat="false" ht="23.85" hidden="false" customHeight="false" outlineLevel="0" collapsed="false">
      <c r="A21" s="11" t="s">
        <v>301</v>
      </c>
      <c r="B21" s="30" t="s">
        <v>159</v>
      </c>
      <c r="C21" s="30" t="s">
        <v>159</v>
      </c>
      <c r="D21" s="30" t="s">
        <v>159</v>
      </c>
      <c r="E21" s="30" t="s">
        <v>159</v>
      </c>
      <c r="F21" s="30" t="s">
        <v>159</v>
      </c>
      <c r="G21" s="30" t="s">
        <v>159</v>
      </c>
      <c r="H21" s="12" t="s">
        <v>302</v>
      </c>
      <c r="I21" s="30" t="s">
        <v>159</v>
      </c>
      <c r="J21" s="12" t="s">
        <v>303</v>
      </c>
    </row>
    <row r="22" customFormat="false" ht="15" hidden="false" customHeight="false" outlineLevel="0" collapsed="false">
      <c r="A22" s="32" t="s">
        <v>304</v>
      </c>
      <c r="B22" s="33"/>
      <c r="C22" s="33"/>
      <c r="D22" s="33"/>
      <c r="E22" s="33"/>
      <c r="F22" s="33"/>
      <c r="G22" s="33"/>
      <c r="H22" s="33"/>
      <c r="I22" s="33"/>
      <c r="J22" s="33"/>
    </row>
    <row r="23" customFormat="false" ht="23.85" hidden="false" customHeight="false" outlineLevel="0" collapsed="false">
      <c r="A23" s="11" t="s">
        <v>305</v>
      </c>
      <c r="B23" s="12" t="s">
        <v>306</v>
      </c>
      <c r="C23" s="12" t="s">
        <v>307</v>
      </c>
      <c r="D23" s="12" t="s">
        <v>308</v>
      </c>
      <c r="E23" s="12" t="s">
        <v>309</v>
      </c>
      <c r="F23" s="12" t="s">
        <v>310</v>
      </c>
      <c r="G23" s="12" t="s">
        <v>307</v>
      </c>
      <c r="H23" s="12" t="s">
        <v>311</v>
      </c>
      <c r="I23" s="12" t="s">
        <v>312</v>
      </c>
      <c r="J23" s="12" t="s">
        <v>313</v>
      </c>
    </row>
    <row r="24" customFormat="false" ht="15" hidden="false" customHeight="false" outlineLevel="0" collapsed="false">
      <c r="A24" s="11" t="s">
        <v>314</v>
      </c>
      <c r="B24" s="12" t="s">
        <v>315</v>
      </c>
      <c r="C24" s="12" t="s">
        <v>315</v>
      </c>
      <c r="D24" s="12" t="s">
        <v>316</v>
      </c>
      <c r="E24" s="12" t="s">
        <v>316</v>
      </c>
      <c r="F24" s="12" t="s">
        <v>317</v>
      </c>
      <c r="G24" s="12" t="s">
        <v>316</v>
      </c>
      <c r="H24" s="12" t="s">
        <v>316</v>
      </c>
      <c r="I24" s="12" t="s">
        <v>318</v>
      </c>
      <c r="J24" s="12" t="s">
        <v>319</v>
      </c>
    </row>
    <row r="25" customFormat="false" ht="15" hidden="false" customHeight="false" outlineLevel="0" collapsed="false">
      <c r="A25" s="11" t="s">
        <v>320</v>
      </c>
      <c r="B25" s="12" t="s">
        <v>276</v>
      </c>
      <c r="C25" s="12" t="s">
        <v>276</v>
      </c>
      <c r="D25" s="12" t="s">
        <v>276</v>
      </c>
      <c r="E25" s="12" t="s">
        <v>276</v>
      </c>
      <c r="F25" s="12" t="s">
        <v>276</v>
      </c>
      <c r="G25" s="12" t="s">
        <v>276</v>
      </c>
      <c r="H25" s="12" t="s">
        <v>276</v>
      </c>
      <c r="I25" s="12" t="s">
        <v>276</v>
      </c>
      <c r="J25" s="12" t="s">
        <v>276</v>
      </c>
    </row>
    <row r="26" customFormat="false" ht="15" hidden="false" customHeight="false" outlineLevel="0" collapsed="false">
      <c r="A26" s="11" t="s">
        <v>321</v>
      </c>
      <c r="B26" s="12" t="s">
        <v>84</v>
      </c>
      <c r="C26" s="12" t="s">
        <v>322</v>
      </c>
      <c r="D26" s="12" t="s">
        <v>84</v>
      </c>
      <c r="E26" s="12" t="s">
        <v>84</v>
      </c>
      <c r="F26" s="12" t="s">
        <v>323</v>
      </c>
      <c r="G26" s="12" t="s">
        <v>324</v>
      </c>
      <c r="H26" s="12" t="s">
        <v>84</v>
      </c>
      <c r="I26" s="12" t="s">
        <v>84</v>
      </c>
      <c r="J26" s="12" t="s">
        <v>319</v>
      </c>
    </row>
    <row r="27" customFormat="false" ht="15" hidden="false" customHeight="false" outlineLevel="0" collapsed="false">
      <c r="A27" s="11" t="s">
        <v>325</v>
      </c>
      <c r="B27" s="30" t="s">
        <v>159</v>
      </c>
      <c r="C27" s="30" t="s">
        <v>159</v>
      </c>
      <c r="D27" s="12" t="s">
        <v>326</v>
      </c>
      <c r="E27" s="12" t="s">
        <v>326</v>
      </c>
      <c r="F27" s="12" t="s">
        <v>326</v>
      </c>
      <c r="G27" s="12" t="s">
        <v>327</v>
      </c>
      <c r="H27" s="12" t="s">
        <v>328</v>
      </c>
      <c r="I27" s="12" t="s">
        <v>327</v>
      </c>
      <c r="J27" s="12" t="s">
        <v>327</v>
      </c>
    </row>
    <row r="28" customFormat="false" ht="15" hidden="false" customHeight="false" outlineLevel="0" collapsed="false">
      <c r="A28" s="32" t="s">
        <v>329</v>
      </c>
      <c r="B28" s="33"/>
      <c r="C28" s="33"/>
      <c r="D28" s="33"/>
      <c r="E28" s="33"/>
      <c r="F28" s="33"/>
      <c r="G28" s="33"/>
      <c r="H28" s="33"/>
      <c r="I28" s="33"/>
      <c r="J28" s="33"/>
    </row>
    <row r="29" customFormat="false" ht="15" hidden="false" customHeight="false" outlineLevel="0" collapsed="false">
      <c r="A29" s="11" t="s">
        <v>86</v>
      </c>
      <c r="B29" s="12" t="s">
        <v>330</v>
      </c>
      <c r="C29" s="12" t="s">
        <v>331</v>
      </c>
      <c r="D29" s="12" t="s">
        <v>332</v>
      </c>
      <c r="E29" s="12" t="s">
        <v>331</v>
      </c>
      <c r="F29" s="12" t="s">
        <v>333</v>
      </c>
      <c r="G29" s="12" t="s">
        <v>334</v>
      </c>
      <c r="H29" s="12" t="s">
        <v>335</v>
      </c>
      <c r="I29" s="12" t="s">
        <v>336</v>
      </c>
      <c r="J29" s="12" t="s">
        <v>334</v>
      </c>
    </row>
    <row r="30" customFormat="false" ht="15" hidden="false" customHeight="false" outlineLevel="0" collapsed="false">
      <c r="A30" s="11" t="s">
        <v>337</v>
      </c>
      <c r="B30" s="12" t="s">
        <v>338</v>
      </c>
      <c r="C30" s="12" t="s">
        <v>338</v>
      </c>
      <c r="D30" s="12" t="s">
        <v>338</v>
      </c>
      <c r="E30" s="12" t="s">
        <v>339</v>
      </c>
      <c r="F30" s="12" t="s">
        <v>338</v>
      </c>
      <c r="G30" s="12" t="s">
        <v>340</v>
      </c>
      <c r="H30" s="12" t="s">
        <v>340</v>
      </c>
      <c r="I30" s="12" t="s">
        <v>341</v>
      </c>
      <c r="J30" s="12" t="s">
        <v>341</v>
      </c>
    </row>
    <row r="31" customFormat="false" ht="23.85" hidden="false" customHeight="false" outlineLevel="0" collapsed="false">
      <c r="A31" s="11" t="s">
        <v>342</v>
      </c>
      <c r="B31" s="12" t="s">
        <v>343</v>
      </c>
      <c r="C31" s="12" t="s">
        <v>344</v>
      </c>
      <c r="D31" s="30" t="s">
        <v>159</v>
      </c>
      <c r="E31" s="12" t="s">
        <v>345</v>
      </c>
      <c r="F31" s="12" t="s">
        <v>346</v>
      </c>
      <c r="G31" s="12" t="s">
        <v>347</v>
      </c>
      <c r="H31" s="12" t="s">
        <v>348</v>
      </c>
      <c r="I31" s="30" t="s">
        <v>159</v>
      </c>
      <c r="J31" s="30" t="s">
        <v>159</v>
      </c>
    </row>
    <row r="32" customFormat="false" ht="35.05" hidden="false" customHeight="false" outlineLevel="0" collapsed="false">
      <c r="A32" s="11" t="s">
        <v>349</v>
      </c>
      <c r="B32" s="12" t="s">
        <v>276</v>
      </c>
      <c r="C32" s="12" t="s">
        <v>276</v>
      </c>
      <c r="D32" s="12" t="s">
        <v>276</v>
      </c>
      <c r="E32" s="12" t="s">
        <v>276</v>
      </c>
      <c r="F32" s="12" t="s">
        <v>276</v>
      </c>
      <c r="G32" s="12" t="s">
        <v>276</v>
      </c>
      <c r="H32" s="12" t="s">
        <v>276</v>
      </c>
      <c r="I32" s="30" t="s">
        <v>159</v>
      </c>
      <c r="J32" s="12" t="s">
        <v>350</v>
      </c>
    </row>
    <row r="33" customFormat="false" ht="15" hidden="false" customHeight="false" outlineLevel="0" collapsed="false">
      <c r="A33" s="32" t="s">
        <v>351</v>
      </c>
      <c r="B33" s="33"/>
      <c r="C33" s="33"/>
      <c r="D33" s="33"/>
      <c r="E33" s="33"/>
      <c r="F33" s="33"/>
      <c r="G33" s="33"/>
      <c r="H33" s="33"/>
      <c r="I33" s="33"/>
      <c r="J33" s="33"/>
    </row>
    <row r="34" customFormat="false" ht="23.85" hidden="false" customHeight="false" outlineLevel="0" collapsed="false">
      <c r="A34" s="11" t="s">
        <v>93</v>
      </c>
      <c r="B34" s="12" t="s">
        <v>352</v>
      </c>
      <c r="C34" s="12" t="s">
        <v>353</v>
      </c>
      <c r="D34" s="12" t="s">
        <v>354</v>
      </c>
      <c r="E34" s="12" t="s">
        <v>355</v>
      </c>
      <c r="F34" s="12" t="s">
        <v>356</v>
      </c>
      <c r="G34" s="12" t="s">
        <v>357</v>
      </c>
      <c r="H34" s="12" t="s">
        <v>358</v>
      </c>
      <c r="I34" s="12" t="s">
        <v>359</v>
      </c>
      <c r="J34" s="12" t="s">
        <v>360</v>
      </c>
    </row>
    <row r="35" customFormat="false" ht="46.25" hidden="false" customHeight="false" outlineLevel="0" collapsed="false">
      <c r="A35" s="11" t="s">
        <v>361</v>
      </c>
      <c r="B35" s="12" t="s">
        <v>362</v>
      </c>
      <c r="C35" s="12" t="s">
        <v>363</v>
      </c>
      <c r="D35" s="30" t="s">
        <v>364</v>
      </c>
      <c r="E35" s="12" t="s">
        <v>365</v>
      </c>
      <c r="F35" s="12" t="s">
        <v>366</v>
      </c>
      <c r="G35" s="12" t="s">
        <v>367</v>
      </c>
      <c r="H35" s="12" t="s">
        <v>368</v>
      </c>
      <c r="I35" s="12" t="s">
        <v>369</v>
      </c>
      <c r="J35" s="12" t="s">
        <v>370</v>
      </c>
    </row>
    <row r="36" customFormat="false" ht="15" hidden="false" customHeight="false" outlineLevel="0" collapsed="false">
      <c r="A36" s="32" t="s">
        <v>371</v>
      </c>
      <c r="B36" s="33"/>
      <c r="C36" s="33"/>
      <c r="D36" s="33"/>
      <c r="E36" s="33"/>
      <c r="F36" s="33"/>
      <c r="G36" s="33"/>
      <c r="H36" s="33"/>
      <c r="I36" s="33"/>
      <c r="J36" s="33"/>
    </row>
    <row r="37" customFormat="false" ht="15" hidden="false" customHeight="false" outlineLevel="0" collapsed="false">
      <c r="A37" s="11" t="s">
        <v>372</v>
      </c>
      <c r="B37" s="12" t="s">
        <v>373</v>
      </c>
      <c r="C37" s="12" t="s">
        <v>373</v>
      </c>
      <c r="D37" s="12" t="s">
        <v>373</v>
      </c>
      <c r="E37" s="12" t="s">
        <v>373</v>
      </c>
      <c r="F37" s="12" t="s">
        <v>373</v>
      </c>
      <c r="G37" s="12" t="s">
        <v>373</v>
      </c>
      <c r="H37" s="12" t="s">
        <v>373</v>
      </c>
      <c r="I37" s="12" t="s">
        <v>373</v>
      </c>
      <c r="J37" s="12" t="s">
        <v>373</v>
      </c>
    </row>
    <row r="38" customFormat="false" ht="23.85" hidden="false" customHeight="false" outlineLevel="0" collapsed="false">
      <c r="A38" s="11" t="s">
        <v>374</v>
      </c>
      <c r="B38" s="12" t="s">
        <v>375</v>
      </c>
      <c r="C38" s="12" t="s">
        <v>376</v>
      </c>
      <c r="D38" s="12" t="s">
        <v>377</v>
      </c>
      <c r="E38" s="12" t="s">
        <v>376</v>
      </c>
      <c r="F38" s="12" t="s">
        <v>377</v>
      </c>
      <c r="G38" s="12" t="s">
        <v>375</v>
      </c>
      <c r="H38" s="12" t="s">
        <v>376</v>
      </c>
      <c r="I38" s="12" t="s">
        <v>378</v>
      </c>
      <c r="J38" s="12" t="s">
        <v>379</v>
      </c>
    </row>
    <row r="39" customFormat="false" ht="15" hidden="false" customHeight="false" outlineLevel="0" collapsed="false">
      <c r="A39" s="11" t="s">
        <v>380</v>
      </c>
      <c r="B39" s="12" t="s">
        <v>381</v>
      </c>
      <c r="C39" s="12" t="s">
        <v>382</v>
      </c>
      <c r="D39" s="12" t="s">
        <v>383</v>
      </c>
      <c r="E39" s="12" t="s">
        <v>384</v>
      </c>
      <c r="F39" s="12" t="s">
        <v>385</v>
      </c>
      <c r="G39" s="12" t="s">
        <v>386</v>
      </c>
      <c r="H39" s="30" t="s">
        <v>159</v>
      </c>
      <c r="I39" s="12" t="s">
        <v>387</v>
      </c>
      <c r="J39" s="12" t="s">
        <v>388</v>
      </c>
    </row>
    <row r="40" customFormat="false" ht="23.85" hidden="false" customHeight="false" outlineLevel="0" collapsed="false">
      <c r="A40" s="11" t="s">
        <v>106</v>
      </c>
      <c r="B40" s="12" t="s">
        <v>389</v>
      </c>
      <c r="C40" s="12" t="s">
        <v>389</v>
      </c>
      <c r="D40" s="12" t="s">
        <v>389</v>
      </c>
      <c r="E40" s="12" t="s">
        <v>389</v>
      </c>
      <c r="F40" s="12" t="s">
        <v>389</v>
      </c>
      <c r="G40" s="12" t="s">
        <v>389</v>
      </c>
      <c r="H40" s="12" t="s">
        <v>389</v>
      </c>
      <c r="I40" s="30" t="s">
        <v>159</v>
      </c>
      <c r="J40" s="12" t="s">
        <v>390</v>
      </c>
    </row>
    <row r="41" customFormat="false" ht="23.85" hidden="false" customHeight="false" outlineLevel="0" collapsed="false">
      <c r="A41" s="11" t="s">
        <v>391</v>
      </c>
      <c r="B41" s="12" t="s">
        <v>392</v>
      </c>
      <c r="C41" s="12" t="s">
        <v>393</v>
      </c>
      <c r="D41" s="12" t="s">
        <v>394</v>
      </c>
      <c r="E41" s="12" t="s">
        <v>394</v>
      </c>
      <c r="F41" s="12" t="s">
        <v>395</v>
      </c>
      <c r="G41" s="12" t="s">
        <v>395</v>
      </c>
      <c r="H41" s="30" t="s">
        <v>159</v>
      </c>
      <c r="I41" s="30" t="s">
        <v>159</v>
      </c>
      <c r="J41" s="12" t="s">
        <v>395</v>
      </c>
    </row>
    <row r="43" customFormat="false" ht="15" hidden="false" customHeight="false" outlineLevel="0" collapsed="false">
      <c r="A43" s="34" t="s">
        <v>396</v>
      </c>
    </row>
    <row r="45" customFormat="false" ht="15" hidden="false" customHeight="false" outlineLevel="0" collapsed="false">
      <c r="A45" s="3" t="s">
        <v>31</v>
      </c>
    </row>
    <row r="46" customFormat="false" ht="15" hidden="false" customHeight="false" outlineLevel="0" collapsed="false">
      <c r="A46" s="18" t="s">
        <v>32</v>
      </c>
    </row>
    <row r="47" customFormat="false" ht="15" hidden="false" customHeight="false" outlineLevel="0" collapsed="false">
      <c r="A47" s="19" t="s">
        <v>33</v>
      </c>
    </row>
    <row r="48" customFormat="false" ht="15" hidden="false" customHeight="false" outlineLevel="0" collapsed="false">
      <c r="A48" s="20" t="s">
        <v>34</v>
      </c>
    </row>
    <row r="49" customFormat="false" ht="15" hidden="false" customHeight="false" outlineLevel="0" collapsed="false">
      <c r="A49" s="21" t="s">
        <v>35</v>
      </c>
    </row>
    <row r="50" customFormat="false" ht="15" hidden="false" customHeight="false" outlineLevel="0" collapsed="false">
      <c r="A50" s="22" t="s">
        <v>36</v>
      </c>
    </row>
    <row r="51" customFormat="false" ht="15" hidden="false" customHeight="false" outlineLevel="0" collapsed="false">
      <c r="A51" s="23" t="s">
        <v>37</v>
      </c>
    </row>
  </sheetData>
  <mergeCells count="2">
    <mergeCell ref="A1:J1"/>
    <mergeCell ref="A2:J2"/>
  </mergeCells>
  <conditionalFormatting sqref="B7:J7">
    <cfRule type="cellIs" priority="2" operator="greaterThan" aboveAverage="0" equalAverage="0" bottom="0" percent="0" rank="0" text="" dxfId="9">
      <formula>40000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T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3" min="3" style="0" width="8"/>
    <col collapsed="false" customWidth="true" hidden="false" outlineLevel="0" max="4" min="4" style="0" width="28"/>
    <col collapsed="false" customWidth="true" hidden="false" outlineLevel="0" max="5" min="5" style="0" width="13"/>
    <col collapsed="false" customWidth="true" hidden="false" outlineLevel="0" max="6" min="6" style="0" width="12"/>
    <col collapsed="false" customWidth="true" hidden="false" outlineLevel="0" max="7" min="7" style="0" width="22"/>
    <col collapsed="false" customWidth="true" hidden="false" outlineLevel="0" max="8" min="8" style="0" width="26"/>
    <col collapsed="false" customWidth="true" hidden="false" outlineLevel="0" max="10" min="9" style="0" width="9"/>
    <col collapsed="false" customWidth="true" hidden="false" outlineLevel="0" max="11" min="11" style="0" width="26"/>
    <col collapsed="false" customWidth="true" hidden="false" outlineLevel="0" max="12" min="12" style="0" width="22"/>
    <col collapsed="false" customWidth="true" hidden="false" outlineLevel="0" max="13" min="13" style="0" width="18"/>
    <col collapsed="false" customWidth="true" hidden="false" outlineLevel="0" max="14" min="14" style="0" width="11"/>
    <col collapsed="false" customWidth="true" hidden="false" outlineLevel="0" max="16" min="15" style="0" width="30"/>
    <col collapsed="false" customWidth="true" hidden="false" outlineLevel="0" max="17" min="17" style="0" width="26"/>
    <col collapsed="false" customWidth="true" hidden="false" outlineLevel="0" max="18" min="18" style="0" width="24"/>
    <col collapsed="false" customWidth="true" hidden="false" outlineLevel="0" max="19" min="19" style="0" width="20"/>
    <col collapsed="false" customWidth="true" hidden="false" outlineLevel="0" max="20" min="20" style="0" width="10"/>
  </cols>
  <sheetData>
    <row r="1" customFormat="false" ht="30" hidden="false" customHeight="true" outlineLevel="0" collapsed="false">
      <c r="A1" s="1" t="s">
        <v>397</v>
      </c>
      <c r="B1" s="1"/>
      <c r="C1" s="1"/>
      <c r="D1" s="1"/>
      <c r="E1" s="1"/>
      <c r="F1" s="1"/>
      <c r="G1" s="1"/>
      <c r="H1" s="1"/>
      <c r="I1" s="1"/>
      <c r="J1" s="1"/>
      <c r="K1" s="1"/>
      <c r="L1" s="1"/>
      <c r="M1" s="1"/>
      <c r="N1" s="1"/>
      <c r="O1" s="1"/>
      <c r="P1" s="1"/>
      <c r="Q1" s="1"/>
      <c r="R1" s="1"/>
      <c r="S1" s="1"/>
      <c r="T1" s="1"/>
    </row>
    <row r="2" customFormat="false" ht="42" hidden="false" customHeight="true" outlineLevel="0" collapsed="false">
      <c r="A2" s="2" t="s">
        <v>398</v>
      </c>
      <c r="B2" s="2"/>
      <c r="C2" s="2"/>
      <c r="D2" s="2"/>
      <c r="E2" s="2"/>
      <c r="F2" s="2"/>
      <c r="G2" s="2"/>
      <c r="H2" s="2"/>
      <c r="I2" s="2"/>
      <c r="J2" s="2"/>
      <c r="K2" s="2"/>
      <c r="L2" s="2"/>
      <c r="M2" s="2"/>
      <c r="N2" s="2"/>
      <c r="O2" s="2"/>
      <c r="P2" s="2"/>
      <c r="Q2" s="2"/>
      <c r="R2" s="2"/>
      <c r="S2" s="2"/>
      <c r="T2" s="2"/>
    </row>
    <row r="4" customFormat="false" ht="31.5" hidden="false" customHeight="true" outlineLevel="0" collapsed="false">
      <c r="A4" s="5" t="s">
        <v>22</v>
      </c>
      <c r="B4" s="5" t="s">
        <v>73</v>
      </c>
      <c r="C4" s="5" t="s">
        <v>399</v>
      </c>
      <c r="D4" s="5" t="s">
        <v>400</v>
      </c>
      <c r="E4" s="5" t="s">
        <v>401</v>
      </c>
      <c r="F4" s="5" t="s">
        <v>402</v>
      </c>
      <c r="G4" s="5" t="s">
        <v>403</v>
      </c>
      <c r="H4" s="5" t="s">
        <v>404</v>
      </c>
      <c r="I4" s="5" t="s">
        <v>405</v>
      </c>
      <c r="J4" s="5" t="s">
        <v>406</v>
      </c>
      <c r="K4" s="5" t="s">
        <v>407</v>
      </c>
      <c r="L4" s="5" t="s">
        <v>408</v>
      </c>
      <c r="M4" s="5" t="s">
        <v>42</v>
      </c>
      <c r="N4" s="5" t="s">
        <v>409</v>
      </c>
      <c r="O4" s="5" t="s">
        <v>410</v>
      </c>
      <c r="P4" s="5" t="s">
        <v>411</v>
      </c>
      <c r="Q4" s="5" t="s">
        <v>412</v>
      </c>
      <c r="R4" s="5" t="s">
        <v>413</v>
      </c>
      <c r="S4" s="5" t="s">
        <v>414</v>
      </c>
      <c r="T4" s="5" t="s">
        <v>415</v>
      </c>
    </row>
    <row r="5" customFormat="false" ht="75" hidden="false" customHeight="true" outlineLevel="0" collapsed="false">
      <c r="A5" s="11" t="s">
        <v>416</v>
      </c>
      <c r="B5" s="12" t="s">
        <v>417</v>
      </c>
      <c r="C5" s="12" t="s">
        <v>418</v>
      </c>
      <c r="D5" s="12" t="s">
        <v>419</v>
      </c>
      <c r="E5" s="12" t="s">
        <v>420</v>
      </c>
      <c r="F5" s="35" t="n">
        <v>1136269</v>
      </c>
      <c r="G5" s="12" t="s">
        <v>421</v>
      </c>
      <c r="H5" s="15" t="s">
        <v>113</v>
      </c>
      <c r="I5" s="14" t="n">
        <v>1101</v>
      </c>
      <c r="J5" s="14" t="n">
        <v>3117</v>
      </c>
      <c r="K5" s="15" t="s">
        <v>422</v>
      </c>
      <c r="L5" s="12" t="s">
        <v>144</v>
      </c>
      <c r="M5" s="25" t="s">
        <v>423</v>
      </c>
      <c r="N5" s="36" t="n">
        <f aca="false">IF(ISNUMBER(F5),F5/$F$5,"n/a")</f>
        <v>1</v>
      </c>
      <c r="O5" s="12" t="s">
        <v>424</v>
      </c>
      <c r="P5" s="12" t="s">
        <v>425</v>
      </c>
      <c r="Q5" s="12" t="s">
        <v>426</v>
      </c>
      <c r="R5" s="12" t="s">
        <v>427</v>
      </c>
      <c r="S5" s="12" t="s">
        <v>428</v>
      </c>
      <c r="T5" s="14" t="str">
        <f aca="false">IF(Scorecard!T5="Yes",COUNTIFS(Scorecard!$T$5:$T$13,"Yes",Scorecard!$H$5:$H$13,"&gt;"&amp;Scorecard!H5)+1,"Excluded")</f>
        <v>Excluded</v>
      </c>
    </row>
    <row r="6" customFormat="false" ht="75" hidden="false" customHeight="true" outlineLevel="0" collapsed="false">
      <c r="A6" s="12" t="s">
        <v>166</v>
      </c>
      <c r="B6" s="12" t="s">
        <v>429</v>
      </c>
      <c r="C6" s="12" t="s">
        <v>418</v>
      </c>
      <c r="D6" s="12" t="s">
        <v>430</v>
      </c>
      <c r="E6" s="12" t="s">
        <v>431</v>
      </c>
      <c r="F6" s="35" t="n">
        <v>2029394</v>
      </c>
      <c r="G6" s="12" t="s">
        <v>432</v>
      </c>
      <c r="H6" s="15" t="s">
        <v>433</v>
      </c>
      <c r="I6" s="31" t="n">
        <v>2152</v>
      </c>
      <c r="J6" s="31" t="n">
        <v>6744</v>
      </c>
      <c r="K6" s="15" t="s">
        <v>433</v>
      </c>
      <c r="L6" s="12" t="s">
        <v>434</v>
      </c>
      <c r="M6" s="24" t="s">
        <v>435</v>
      </c>
      <c r="N6" s="36" t="n">
        <f aca="false">IF(ISNUMBER(F6),F6/$F$5,"n/a")</f>
        <v>1.78601545936746</v>
      </c>
      <c r="O6" s="12" t="s">
        <v>436</v>
      </c>
      <c r="P6" s="12" t="s">
        <v>437</v>
      </c>
      <c r="Q6" s="12" t="s">
        <v>438</v>
      </c>
      <c r="R6" s="12" t="s">
        <v>439</v>
      </c>
      <c r="S6" s="12" t="s">
        <v>159</v>
      </c>
      <c r="T6" s="14" t="n">
        <f aca="false">IF(Scorecard!T6="Yes",COUNTIFS(Scorecard!$T$5:$T$13,"Yes",Scorecard!$H$5:$H$13,"&gt;"&amp;Scorecard!H6)+1,"Excluded")</f>
        <v>1</v>
      </c>
    </row>
    <row r="7" customFormat="false" ht="75" hidden="false" customHeight="true" outlineLevel="0" collapsed="false">
      <c r="A7" s="12" t="s">
        <v>180</v>
      </c>
      <c r="B7" s="12" t="s">
        <v>440</v>
      </c>
      <c r="C7" s="12" t="s">
        <v>418</v>
      </c>
      <c r="D7" s="12" t="s">
        <v>441</v>
      </c>
      <c r="E7" s="12" t="s">
        <v>442</v>
      </c>
      <c r="F7" s="35" t="n">
        <v>1527083</v>
      </c>
      <c r="G7" s="12" t="s">
        <v>443</v>
      </c>
      <c r="H7" s="15" t="s">
        <v>444</v>
      </c>
      <c r="I7" s="31" t="n">
        <v>1882</v>
      </c>
      <c r="J7" s="31" t="n">
        <v>4598</v>
      </c>
      <c r="K7" s="15" t="s">
        <v>445</v>
      </c>
      <c r="L7" s="12" t="s">
        <v>144</v>
      </c>
      <c r="M7" s="24" t="s">
        <v>446</v>
      </c>
      <c r="N7" s="36" t="n">
        <f aca="false">IF(ISNUMBER(F7),F7/$F$5,"n/a")</f>
        <v>1.34394496373658</v>
      </c>
      <c r="O7" s="12" t="s">
        <v>447</v>
      </c>
      <c r="P7" s="12" t="s">
        <v>448</v>
      </c>
      <c r="Q7" s="12" t="s">
        <v>449</v>
      </c>
      <c r="R7" s="12" t="s">
        <v>450</v>
      </c>
      <c r="S7" s="12" t="s">
        <v>451</v>
      </c>
      <c r="T7" s="14" t="n">
        <f aca="false">IF(Scorecard!T7="Yes",COUNTIFS(Scorecard!$T$5:$T$13,"Yes",Scorecard!$H$5:$H$13,"&gt;"&amp;Scorecard!H7)+1,"Excluded")</f>
        <v>4</v>
      </c>
    </row>
    <row r="8" customFormat="false" ht="75" hidden="false" customHeight="true" outlineLevel="0" collapsed="false">
      <c r="A8" s="12" t="s">
        <v>190</v>
      </c>
      <c r="B8" s="12" t="s">
        <v>452</v>
      </c>
      <c r="C8" s="12" t="s">
        <v>418</v>
      </c>
      <c r="D8" s="12" t="s">
        <v>453</v>
      </c>
      <c r="E8" s="12" t="s">
        <v>454</v>
      </c>
      <c r="F8" s="35" t="n">
        <v>1780000</v>
      </c>
      <c r="G8" s="12" t="s">
        <v>455</v>
      </c>
      <c r="H8" s="15" t="s">
        <v>456</v>
      </c>
      <c r="I8" s="31" t="n">
        <v>1660</v>
      </c>
      <c r="J8" s="31" t="n">
        <v>6497</v>
      </c>
      <c r="K8" s="15" t="s">
        <v>457</v>
      </c>
      <c r="L8" s="12" t="s">
        <v>144</v>
      </c>
      <c r="M8" s="25" t="s">
        <v>458</v>
      </c>
      <c r="N8" s="36" t="n">
        <f aca="false">IF(ISNUMBER(F8),F8/$F$5,"n/a")</f>
        <v>1.56653046065676</v>
      </c>
      <c r="O8" s="12" t="s">
        <v>459</v>
      </c>
      <c r="P8" s="12" t="s">
        <v>460</v>
      </c>
      <c r="Q8" s="12" t="s">
        <v>461</v>
      </c>
      <c r="R8" s="12" t="s">
        <v>450</v>
      </c>
      <c r="S8" s="12" t="s">
        <v>451</v>
      </c>
      <c r="T8" s="14" t="n">
        <f aca="false">IF(Scorecard!T8="Yes",COUNTIFS(Scorecard!$T$5:$T$13,"Yes",Scorecard!$H$5:$H$13,"&gt;"&amp;Scorecard!H8)+1,"Excluded")</f>
        <v>3</v>
      </c>
    </row>
    <row r="9" customFormat="false" ht="75" hidden="false" customHeight="true" outlineLevel="0" collapsed="false">
      <c r="A9" s="12" t="s">
        <v>203</v>
      </c>
      <c r="B9" s="12" t="s">
        <v>440</v>
      </c>
      <c r="C9" s="12" t="s">
        <v>418</v>
      </c>
      <c r="D9" s="12" t="s">
        <v>441</v>
      </c>
      <c r="E9" s="12" t="s">
        <v>442</v>
      </c>
      <c r="F9" s="35" t="n">
        <v>1455406</v>
      </c>
      <c r="G9" s="12" t="s">
        <v>462</v>
      </c>
      <c r="H9" s="15" t="s">
        <v>463</v>
      </c>
      <c r="I9" s="31" t="n">
        <v>1992</v>
      </c>
      <c r="J9" s="31" t="n">
        <v>5079</v>
      </c>
      <c r="K9" s="15" t="s">
        <v>464</v>
      </c>
      <c r="L9" s="12" t="s">
        <v>144</v>
      </c>
      <c r="M9" s="24" t="s">
        <v>435</v>
      </c>
      <c r="N9" s="36" t="n">
        <f aca="false">IF(ISNUMBER(F9),F9/$F$5,"n/a")</f>
        <v>1.28086395034979</v>
      </c>
      <c r="O9" s="12" t="s">
        <v>465</v>
      </c>
      <c r="P9" s="12" t="s">
        <v>466</v>
      </c>
      <c r="Q9" s="12" t="s">
        <v>467</v>
      </c>
      <c r="R9" s="12" t="s">
        <v>450</v>
      </c>
      <c r="S9" s="12" t="s">
        <v>451</v>
      </c>
      <c r="T9" s="14" t="n">
        <f aca="false">IF(Scorecard!T9="Yes",COUNTIFS(Scorecard!$T$5:$T$13,"Yes",Scorecard!$H$5:$H$13,"&gt;"&amp;Scorecard!H9)+1,"Excluded")</f>
        <v>4</v>
      </c>
    </row>
    <row r="10" customFormat="false" ht="75" hidden="false" customHeight="true" outlineLevel="0" collapsed="false">
      <c r="A10" s="12" t="s">
        <v>212</v>
      </c>
      <c r="B10" s="12" t="s">
        <v>468</v>
      </c>
      <c r="C10" s="12" t="s">
        <v>418</v>
      </c>
      <c r="D10" s="12" t="s">
        <v>469</v>
      </c>
      <c r="E10" s="12" t="s">
        <v>470</v>
      </c>
      <c r="F10" s="35" t="n">
        <v>2090000</v>
      </c>
      <c r="G10" s="12" t="s">
        <v>471</v>
      </c>
      <c r="H10" s="15" t="s">
        <v>472</v>
      </c>
      <c r="I10" s="31" t="n">
        <v>1751</v>
      </c>
      <c r="J10" s="31" t="n">
        <v>6824</v>
      </c>
      <c r="K10" s="15" t="s">
        <v>472</v>
      </c>
      <c r="L10" s="12" t="s">
        <v>473</v>
      </c>
      <c r="M10" s="25" t="s">
        <v>474</v>
      </c>
      <c r="N10" s="36" t="n">
        <f aca="false">IF(ISNUMBER(F10),F10/$F$5,"n/a")</f>
        <v>1.83935318133294</v>
      </c>
      <c r="O10" s="12" t="s">
        <v>475</v>
      </c>
      <c r="P10" s="12" t="s">
        <v>476</v>
      </c>
      <c r="Q10" s="12" t="s">
        <v>477</v>
      </c>
      <c r="R10" s="12" t="s">
        <v>450</v>
      </c>
      <c r="S10" s="12" t="s">
        <v>327</v>
      </c>
      <c r="T10" s="14" t="n">
        <f aca="false">IF(Scorecard!T10="Yes",COUNTIFS(Scorecard!$T$5:$T$13,"Yes",Scorecard!$H$5:$H$13,"&gt;"&amp;Scorecard!H10)+1,"Excluded")</f>
        <v>1</v>
      </c>
    </row>
    <row r="11" customFormat="false" ht="75" hidden="false" customHeight="true" outlineLevel="0" collapsed="false">
      <c r="A11" s="12" t="s">
        <v>218</v>
      </c>
      <c r="B11" s="12" t="s">
        <v>417</v>
      </c>
      <c r="C11" s="12" t="s">
        <v>418</v>
      </c>
      <c r="D11" s="12" t="s">
        <v>419</v>
      </c>
      <c r="E11" s="12" t="s">
        <v>420</v>
      </c>
      <c r="F11" s="35" t="n">
        <v>1047274</v>
      </c>
      <c r="G11" s="12" t="s">
        <v>478</v>
      </c>
      <c r="H11" s="15" t="s">
        <v>479</v>
      </c>
      <c r="I11" s="31" t="n">
        <v>1266</v>
      </c>
      <c r="J11" s="31" t="n">
        <v>3154</v>
      </c>
      <c r="K11" s="15" t="s">
        <v>479</v>
      </c>
      <c r="L11" s="12" t="s">
        <v>144</v>
      </c>
      <c r="M11" s="24" t="s">
        <v>435</v>
      </c>
      <c r="N11" s="36" t="n">
        <f aca="false">IF(ISNUMBER(F11),F11/$F$5,"n/a")</f>
        <v>0.921677877333624</v>
      </c>
      <c r="O11" s="12" t="s">
        <v>480</v>
      </c>
      <c r="P11" s="12" t="s">
        <v>481</v>
      </c>
      <c r="Q11" s="12" t="s">
        <v>482</v>
      </c>
      <c r="R11" s="12" t="s">
        <v>483</v>
      </c>
      <c r="S11" s="12" t="s">
        <v>484</v>
      </c>
      <c r="T11" s="14" t="n">
        <f aca="false">IF(Scorecard!T11="Yes",COUNTIFS(Scorecard!$T$5:$T$13,"Yes",Scorecard!$H$5:$H$13,"&gt;"&amp;Scorecard!H11)+1,"Excluded")</f>
        <v>6</v>
      </c>
    </row>
    <row r="12" customFormat="false" ht="75" hidden="false" customHeight="true" outlineLevel="0" collapsed="false">
      <c r="A12" s="12" t="s">
        <v>225</v>
      </c>
      <c r="B12" s="12" t="s">
        <v>417</v>
      </c>
      <c r="C12" s="12" t="s">
        <v>418</v>
      </c>
      <c r="D12" s="12" t="s">
        <v>419</v>
      </c>
      <c r="E12" s="12" t="s">
        <v>420</v>
      </c>
      <c r="F12" s="35" t="n">
        <v>1180000</v>
      </c>
      <c r="G12" s="12" t="s">
        <v>485</v>
      </c>
      <c r="H12" s="15" t="s">
        <v>486</v>
      </c>
      <c r="I12" s="31" t="n">
        <v>1245</v>
      </c>
      <c r="J12" s="31" t="n">
        <v>3196</v>
      </c>
      <c r="K12" s="15" t="s">
        <v>486</v>
      </c>
      <c r="L12" s="12" t="s">
        <v>144</v>
      </c>
      <c r="M12" s="24" t="s">
        <v>435</v>
      </c>
      <c r="N12" s="36" t="n">
        <f aca="false">IF(ISNUMBER(F12),F12/$F$5,"n/a")</f>
        <v>1.03848648515448</v>
      </c>
      <c r="O12" s="12" t="s">
        <v>487</v>
      </c>
      <c r="P12" s="12" t="s">
        <v>488</v>
      </c>
      <c r="Q12" s="12" t="s">
        <v>489</v>
      </c>
      <c r="R12" s="12" t="s">
        <v>490</v>
      </c>
      <c r="S12" s="12" t="s">
        <v>491</v>
      </c>
      <c r="T12" s="14" t="n">
        <f aca="false">IF(Scorecard!T12="Yes",COUNTIFS(Scorecard!$T$5:$T$13,"Yes",Scorecard!$H$5:$H$13,"&gt;"&amp;Scorecard!H12)+1,"Excluded")</f>
        <v>6</v>
      </c>
    </row>
    <row r="13" customFormat="false" ht="75" hidden="false" customHeight="true" outlineLevel="0" collapsed="false">
      <c r="A13" s="12" t="s">
        <v>243</v>
      </c>
      <c r="B13" s="12" t="s">
        <v>492</v>
      </c>
      <c r="C13" s="12" t="s">
        <v>418</v>
      </c>
      <c r="D13" s="12" t="s">
        <v>469</v>
      </c>
      <c r="E13" s="12" t="s">
        <v>470</v>
      </c>
      <c r="F13" s="35" t="n">
        <v>2170000</v>
      </c>
      <c r="G13" s="12" t="s">
        <v>493</v>
      </c>
      <c r="H13" s="15" t="s">
        <v>494</v>
      </c>
      <c r="I13" s="37" t="s">
        <v>144</v>
      </c>
      <c r="J13" s="37" t="s">
        <v>144</v>
      </c>
      <c r="K13" s="12" t="s">
        <v>144</v>
      </c>
      <c r="L13" s="12" t="s">
        <v>144</v>
      </c>
      <c r="M13" s="24" t="s">
        <v>435</v>
      </c>
      <c r="N13" s="36" t="n">
        <f aca="false">IF(ISNUMBER(F13),F13/$F$5,"n/a")</f>
        <v>1.90975904473325</v>
      </c>
      <c r="O13" s="12" t="s">
        <v>495</v>
      </c>
      <c r="P13" s="12" t="s">
        <v>496</v>
      </c>
      <c r="Q13" s="12" t="s">
        <v>497</v>
      </c>
      <c r="R13" s="12" t="s">
        <v>450</v>
      </c>
      <c r="S13" s="12" t="s">
        <v>498</v>
      </c>
      <c r="T13" s="14" t="str">
        <f aca="false">IF(Scorecard!T13="Yes",COUNTIFS(Scorecard!$T$5:$T$13,"Yes",Scorecard!$H$5:$H$13,"&gt;"&amp;Scorecard!H13)+1,"Excluded")</f>
        <v>Excluded</v>
      </c>
    </row>
    <row r="15" customFormat="false" ht="31.5" hidden="false" customHeight="true" outlineLevel="0" collapsed="false">
      <c r="A15" s="16" t="s">
        <v>499</v>
      </c>
      <c r="B15" s="16"/>
      <c r="C15" s="16"/>
      <c r="D15" s="16"/>
      <c r="E15" s="16"/>
      <c r="F15" s="16"/>
      <c r="G15" s="16"/>
      <c r="H15" s="16"/>
      <c r="I15" s="16"/>
      <c r="J15" s="16"/>
      <c r="K15" s="16"/>
      <c r="L15" s="16"/>
      <c r="M15" s="16"/>
    </row>
    <row r="16" customFormat="false" ht="31.5" hidden="false" customHeight="true" outlineLevel="0" collapsed="false">
      <c r="A16" s="16" t="s">
        <v>500</v>
      </c>
      <c r="B16" s="16"/>
      <c r="C16" s="16"/>
      <c r="D16" s="16"/>
      <c r="E16" s="16"/>
      <c r="F16" s="16"/>
      <c r="G16" s="16"/>
      <c r="H16" s="16"/>
      <c r="I16" s="16"/>
      <c r="J16" s="16"/>
      <c r="K16" s="16"/>
      <c r="L16" s="16"/>
      <c r="M16" s="16"/>
    </row>
    <row r="17" customFormat="false" ht="31.5" hidden="false" customHeight="true" outlineLevel="0" collapsed="false">
      <c r="A17" s="16" t="s">
        <v>501</v>
      </c>
      <c r="B17" s="16"/>
      <c r="C17" s="16"/>
      <c r="D17" s="16"/>
      <c r="E17" s="16"/>
      <c r="F17" s="16"/>
      <c r="G17" s="16"/>
      <c r="H17" s="16"/>
      <c r="I17" s="16"/>
      <c r="J17" s="16"/>
      <c r="K17" s="16"/>
      <c r="L17" s="16"/>
      <c r="M17" s="16"/>
    </row>
    <row r="18" customFormat="false" ht="31.5" hidden="false" customHeight="true" outlineLevel="0" collapsed="false">
      <c r="A18" s="16" t="s">
        <v>502</v>
      </c>
      <c r="B18" s="16"/>
      <c r="C18" s="16"/>
      <c r="D18" s="16"/>
      <c r="E18" s="16"/>
      <c r="F18" s="16"/>
      <c r="G18" s="16"/>
      <c r="H18" s="16"/>
      <c r="I18" s="16"/>
      <c r="J18" s="16"/>
      <c r="K18" s="16"/>
      <c r="L18" s="16"/>
      <c r="M18" s="16"/>
    </row>
    <row r="20" customFormat="false" ht="15" hidden="false" customHeight="false" outlineLevel="0" collapsed="false">
      <c r="A20" s="3" t="s">
        <v>31</v>
      </c>
    </row>
    <row r="21" customFormat="false" ht="15" hidden="false" customHeight="false" outlineLevel="0" collapsed="false">
      <c r="A21" s="18" t="s">
        <v>32</v>
      </c>
    </row>
    <row r="22" customFormat="false" ht="15" hidden="false" customHeight="false" outlineLevel="0" collapsed="false">
      <c r="A22" s="19" t="s">
        <v>33</v>
      </c>
    </row>
    <row r="23" customFormat="false" ht="15" hidden="false" customHeight="false" outlineLevel="0" collapsed="false">
      <c r="A23" s="20" t="s">
        <v>34</v>
      </c>
    </row>
    <row r="24" customFormat="false" ht="15" hidden="false" customHeight="false" outlineLevel="0" collapsed="false">
      <c r="A24" s="21" t="s">
        <v>35</v>
      </c>
    </row>
    <row r="25" customFormat="false" ht="15" hidden="false" customHeight="false" outlineLevel="0" collapsed="false">
      <c r="A25" s="22" t="s">
        <v>36</v>
      </c>
    </row>
    <row r="26" customFormat="false" ht="15" hidden="false" customHeight="false" outlineLevel="0" collapsed="false">
      <c r="A26" s="23" t="s">
        <v>37</v>
      </c>
    </row>
  </sheetData>
  <mergeCells count="6">
    <mergeCell ref="A1:T1"/>
    <mergeCell ref="A2:T2"/>
    <mergeCell ref="A15:M15"/>
    <mergeCell ref="A16:M16"/>
    <mergeCell ref="A17:M17"/>
    <mergeCell ref="A18:M18"/>
  </mergeCells>
  <conditionalFormatting sqref="F6:F12">
    <cfRule type="expression" priority="2" aboveAverage="0" equalAverage="0" bottom="0" percent="0" rank="0" text="" dxfId="12">
      <formula>F6=MAX($F$6:$F$12)</formula>
    </cfRule>
  </conditionalFormatting>
  <conditionalFormatting sqref="I6:I12">
    <cfRule type="expression" priority="3" aboveAverage="0" equalAverage="0" bottom="0" percent="0" rank="0" text="" dxfId="12">
      <formula>I6=MAX($I$6:$I$12)</formula>
    </cfRule>
  </conditionalFormatting>
  <conditionalFormatting sqref="J6:J12">
    <cfRule type="expression" priority="4" aboveAverage="0" equalAverage="0" bottom="0" percent="0" rank="0" text="" dxfId="12">
      <formula>J6=MAX($J$6:$J$12)</formula>
    </cfRule>
  </conditionalFormatting>
  <hyperlinks>
    <hyperlink ref="H5" r:id="rId1" display="https://www.mobiledokan.com/review/oneplus-nord-ce6-full-review"/>
    <hyperlink ref="K5" r:id="rId2" display="https://www.91mobiles.com/hub/alleged-oneplus-nord-ce-6-geekbench-snapdragon-7s-gen-4/"/>
    <hyperlink ref="H6" r:id="rId3" display="https://www.digit.in/reviews/mobile-phones/oppo-k13-turbo-pro-review-power-doesnt-quit-cooling-fan-or-not.html"/>
    <hyperlink ref="K6" r:id="rId4" display="https://www.digit.in/reviews/mobile-phones/oppo-k13-turbo-pro-review-power-doesnt-quit-cooling-fan-or-not.html"/>
    <hyperlink ref="H7" r:id="rId5" display="https://www.91mobiles.com/hub/iqoo-neo-10r-review/"/>
    <hyperlink ref="K7" r:id="rId6" display="https://nanoreview.net/en/phone/vivo-iqoo-neo-7-pro"/>
    <hyperlink ref="H8" r:id="rId7" display="https://www.realme.com/in/realme-gt-7t-5g"/>
    <hyperlink ref="K8" r:id="rId8" display="https://www.mysmartprice.com/performance-test/realme-gt-7t-619909"/>
    <hyperlink ref="H9" r:id="rId9" display="https://www.91mobiles.com/reviews/oneplus-nord-5-review/"/>
    <hyperlink ref="K9" r:id="rId10" display="https://www.mysmartprice.com/mobile/oneplus-nord-5-msp22894/benchmark-scores"/>
    <hyperlink ref="H10" r:id="rId11" display="https://nanoreview.net/en/phone/xiaomi-poco-x8-pro"/>
    <hyperlink ref="K10" r:id="rId12" display="https://nanoreview.net/en/phone/xiaomi-poco-x8-pro"/>
    <hyperlink ref="H11" r:id="rId13" display="https://www.mysmartprice.com/performance-test/xiaomi-redmi-note-15-pro-plus-23455"/>
    <hyperlink ref="K11" r:id="rId14" display="https://www.mysmartprice.com/performance-test/xiaomi-redmi-note-15-pro-plus-23455"/>
    <hyperlink ref="H12" r:id="rId15" display="https://www.digit.in/reviews/mobile-phones/vivo-t5-pro-review-9020mah-big-battery-for-rs-30000-but-what-is-the-catch.html"/>
    <hyperlink ref="K12" r:id="rId16" display="https://www.digit.in/reviews/mobile-phones/vivo-t5-pro-review-9020mah-big-battery-for-rs-30000-but-what-is-the-catch.html"/>
    <hyperlink ref="H13" r:id="rId17" display="https://www.digit.in/reviews/mobile-phones/motorola-edge-70-pro-review-one-of-the-most-complete-phones-you-can-buy-but.html"/>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8"/>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0"/>
    <col collapsed="false" customWidth="true" hidden="false" outlineLevel="0" max="4" min="4" style="0" width="24"/>
    <col collapsed="false" customWidth="true" hidden="false" outlineLevel="0" max="5" min="5" style="0" width="18"/>
    <col collapsed="false" customWidth="true" hidden="false" outlineLevel="0" max="6" min="6" style="0" width="30"/>
    <col collapsed="false" customWidth="true" hidden="false" outlineLevel="0" max="7" min="7" style="0" width="16"/>
    <col collapsed="false" customWidth="true" hidden="false" outlineLevel="0" max="8" min="8" style="0" width="22"/>
    <col collapsed="false" customWidth="true" hidden="false" outlineLevel="0" max="9" min="9" style="0" width="30"/>
    <col collapsed="false" customWidth="true" hidden="false" outlineLevel="0" max="10" min="10" style="0" width="28"/>
    <col collapsed="false" customWidth="true" hidden="false" outlineLevel="0" max="11" min="11" style="0" width="30"/>
    <col collapsed="false" customWidth="true" hidden="false" outlineLevel="0" max="13" min="12" style="0" width="24"/>
    <col collapsed="false" customWidth="true" hidden="false" outlineLevel="0" max="15" min="14" style="0" width="22"/>
    <col collapsed="false" customWidth="true" hidden="false" outlineLevel="0" max="16" min="16" style="0" width="18"/>
  </cols>
  <sheetData>
    <row r="1" customFormat="false" ht="30" hidden="false" customHeight="true" outlineLevel="0" collapsed="false">
      <c r="A1" s="1" t="s">
        <v>503</v>
      </c>
      <c r="B1" s="1"/>
      <c r="C1" s="1"/>
      <c r="D1" s="1"/>
      <c r="E1" s="1"/>
      <c r="F1" s="1"/>
      <c r="G1" s="1"/>
      <c r="H1" s="1"/>
      <c r="I1" s="1"/>
      <c r="J1" s="1"/>
      <c r="K1" s="1"/>
      <c r="L1" s="1"/>
      <c r="M1" s="1"/>
      <c r="N1" s="1"/>
      <c r="O1" s="1"/>
      <c r="P1" s="1"/>
    </row>
    <row r="2" customFormat="false" ht="42" hidden="false" customHeight="true" outlineLevel="0" collapsed="false">
      <c r="A2" s="2" t="s">
        <v>504</v>
      </c>
      <c r="B2" s="2"/>
      <c r="C2" s="2"/>
      <c r="D2" s="2"/>
      <c r="E2" s="2"/>
      <c r="F2" s="2"/>
      <c r="G2" s="2"/>
      <c r="H2" s="2"/>
      <c r="I2" s="2"/>
      <c r="J2" s="2"/>
      <c r="K2" s="2"/>
      <c r="L2" s="2"/>
      <c r="M2" s="2"/>
      <c r="N2" s="2"/>
      <c r="O2" s="2"/>
      <c r="P2" s="2"/>
    </row>
    <row r="4" customFormat="false" ht="31.5" hidden="false" customHeight="true" outlineLevel="0" collapsed="false">
      <c r="A4" s="5" t="s">
        <v>22</v>
      </c>
      <c r="B4" s="5" t="s">
        <v>505</v>
      </c>
      <c r="C4" s="5" t="s">
        <v>506</v>
      </c>
      <c r="D4" s="5" t="s">
        <v>507</v>
      </c>
      <c r="E4" s="5" t="s">
        <v>508</v>
      </c>
      <c r="F4" s="5" t="s">
        <v>509</v>
      </c>
      <c r="G4" s="5" t="s">
        <v>510</v>
      </c>
      <c r="H4" s="5" t="s">
        <v>511</v>
      </c>
      <c r="I4" s="5" t="s">
        <v>512</v>
      </c>
      <c r="J4" s="5" t="s">
        <v>513</v>
      </c>
      <c r="K4" s="5" t="s">
        <v>514</v>
      </c>
      <c r="L4" s="5" t="s">
        <v>515</v>
      </c>
      <c r="M4" s="5" t="s">
        <v>516</v>
      </c>
      <c r="N4" s="5" t="s">
        <v>517</v>
      </c>
      <c r="O4" s="5" t="s">
        <v>518</v>
      </c>
      <c r="P4" s="5" t="s">
        <v>519</v>
      </c>
    </row>
    <row r="5" customFormat="false" ht="69.75" hidden="false" customHeight="true" outlineLevel="0" collapsed="false">
      <c r="A5" s="12" t="s">
        <v>416</v>
      </c>
      <c r="B5" s="14" t="n">
        <v>4.3</v>
      </c>
      <c r="C5" s="35" t="n">
        <v>2136</v>
      </c>
      <c r="D5" s="12" t="s">
        <v>520</v>
      </c>
      <c r="E5" s="12" t="s">
        <v>147</v>
      </c>
      <c r="F5" s="15" t="s">
        <v>65</v>
      </c>
      <c r="G5" s="25" t="s">
        <v>521</v>
      </c>
      <c r="H5" s="12" t="s">
        <v>522</v>
      </c>
      <c r="I5" s="15" t="s">
        <v>123</v>
      </c>
      <c r="J5" s="12" t="s">
        <v>523</v>
      </c>
      <c r="K5" s="12" t="s">
        <v>524</v>
      </c>
      <c r="L5" s="12" t="s">
        <v>525</v>
      </c>
      <c r="M5" s="12" t="s">
        <v>526</v>
      </c>
      <c r="N5" s="12" t="s">
        <v>527</v>
      </c>
      <c r="O5" s="12" t="s">
        <v>528</v>
      </c>
      <c r="P5" s="12" t="s">
        <v>529</v>
      </c>
    </row>
    <row r="6" customFormat="false" ht="69.75" hidden="false" customHeight="true" outlineLevel="0" collapsed="false">
      <c r="A6" s="12" t="s">
        <v>166</v>
      </c>
      <c r="B6" s="14" t="n">
        <v>4.4</v>
      </c>
      <c r="C6" s="35" t="n">
        <v>814</v>
      </c>
      <c r="D6" s="12" t="s">
        <v>530</v>
      </c>
      <c r="E6" s="12" t="s">
        <v>147</v>
      </c>
      <c r="F6" s="15" t="s">
        <v>531</v>
      </c>
      <c r="G6" s="25" t="s">
        <v>521</v>
      </c>
      <c r="H6" s="12" t="s">
        <v>532</v>
      </c>
      <c r="I6" s="15" t="s">
        <v>433</v>
      </c>
      <c r="J6" s="12" t="s">
        <v>533</v>
      </c>
      <c r="K6" s="12" t="s">
        <v>534</v>
      </c>
      <c r="L6" s="12" t="s">
        <v>535</v>
      </c>
      <c r="M6" s="12" t="s">
        <v>536</v>
      </c>
      <c r="N6" s="12" t="s">
        <v>537</v>
      </c>
      <c r="O6" s="12" t="s">
        <v>538</v>
      </c>
      <c r="P6" s="12" t="s">
        <v>539</v>
      </c>
    </row>
    <row r="7" customFormat="false" ht="69.75" hidden="false" customHeight="true" outlineLevel="0" collapsed="false">
      <c r="A7" s="12" t="s">
        <v>180</v>
      </c>
      <c r="B7" s="14" t="n">
        <v>4.5</v>
      </c>
      <c r="C7" s="35" t="n">
        <v>14200</v>
      </c>
      <c r="D7" s="12" t="s">
        <v>540</v>
      </c>
      <c r="E7" s="12" t="s">
        <v>147</v>
      </c>
      <c r="F7" s="15" t="s">
        <v>541</v>
      </c>
      <c r="G7" s="25" t="s">
        <v>521</v>
      </c>
      <c r="H7" s="12" t="s">
        <v>542</v>
      </c>
      <c r="I7" s="15" t="s">
        <v>543</v>
      </c>
      <c r="J7" s="12" t="s">
        <v>544</v>
      </c>
      <c r="K7" s="12" t="s">
        <v>545</v>
      </c>
      <c r="L7" s="12" t="s">
        <v>546</v>
      </c>
      <c r="M7" s="12" t="s">
        <v>547</v>
      </c>
      <c r="N7" s="12" t="s">
        <v>548</v>
      </c>
      <c r="O7" s="12" t="s">
        <v>549</v>
      </c>
      <c r="P7" s="12" t="s">
        <v>550</v>
      </c>
    </row>
    <row r="8" customFormat="false" ht="69.75" hidden="false" customHeight="true" outlineLevel="0" collapsed="false">
      <c r="A8" s="12" t="s">
        <v>190</v>
      </c>
      <c r="B8" s="14" t="n">
        <v>4.5</v>
      </c>
      <c r="C8" s="38" t="s">
        <v>144</v>
      </c>
      <c r="D8" s="12" t="s">
        <v>551</v>
      </c>
      <c r="E8" s="12" t="s">
        <v>147</v>
      </c>
      <c r="F8" s="15" t="s">
        <v>195</v>
      </c>
      <c r="G8" s="25" t="s">
        <v>552</v>
      </c>
      <c r="H8" s="12" t="s">
        <v>553</v>
      </c>
      <c r="I8" s="15" t="s">
        <v>554</v>
      </c>
      <c r="J8" s="12" t="s">
        <v>555</v>
      </c>
      <c r="K8" s="12" t="s">
        <v>556</v>
      </c>
      <c r="L8" s="12" t="s">
        <v>557</v>
      </c>
      <c r="M8" s="12" t="s">
        <v>558</v>
      </c>
      <c r="N8" s="12" t="s">
        <v>559</v>
      </c>
      <c r="O8" s="12" t="s">
        <v>560</v>
      </c>
      <c r="P8" s="12" t="s">
        <v>561</v>
      </c>
    </row>
    <row r="9" customFormat="false" ht="69.75" hidden="false" customHeight="true" outlineLevel="0" collapsed="false">
      <c r="A9" s="12" t="s">
        <v>203</v>
      </c>
      <c r="B9" s="37" t="s">
        <v>144</v>
      </c>
      <c r="C9" s="38" t="s">
        <v>144</v>
      </c>
      <c r="D9" s="12" t="s">
        <v>144</v>
      </c>
      <c r="E9" s="12" t="s">
        <v>147</v>
      </c>
      <c r="F9" s="15" t="s">
        <v>562</v>
      </c>
      <c r="G9" s="30" t="s">
        <v>144</v>
      </c>
      <c r="H9" s="12" t="s">
        <v>563</v>
      </c>
      <c r="I9" s="15" t="s">
        <v>564</v>
      </c>
      <c r="J9" s="12" t="s">
        <v>565</v>
      </c>
      <c r="K9" s="12" t="s">
        <v>566</v>
      </c>
      <c r="L9" s="12" t="s">
        <v>567</v>
      </c>
      <c r="M9" s="12" t="s">
        <v>568</v>
      </c>
      <c r="N9" s="12" t="s">
        <v>569</v>
      </c>
      <c r="O9" s="12" t="s">
        <v>570</v>
      </c>
      <c r="P9" s="12" t="s">
        <v>377</v>
      </c>
    </row>
    <row r="10" customFormat="false" ht="69.75" hidden="false" customHeight="true" outlineLevel="0" collapsed="false">
      <c r="A10" s="12" t="s">
        <v>212</v>
      </c>
      <c r="B10" s="14" t="n">
        <v>4.3</v>
      </c>
      <c r="C10" s="35" t="n">
        <v>2816</v>
      </c>
      <c r="D10" s="12" t="s">
        <v>571</v>
      </c>
      <c r="E10" s="12" t="s">
        <v>147</v>
      </c>
      <c r="F10" s="15" t="s">
        <v>572</v>
      </c>
      <c r="G10" s="25" t="s">
        <v>60</v>
      </c>
      <c r="H10" s="12" t="s">
        <v>573</v>
      </c>
      <c r="I10" s="15" t="s">
        <v>574</v>
      </c>
      <c r="J10" s="12" t="s">
        <v>575</v>
      </c>
      <c r="K10" s="12" t="s">
        <v>576</v>
      </c>
      <c r="L10" s="12" t="s">
        <v>577</v>
      </c>
      <c r="M10" s="12" t="s">
        <v>578</v>
      </c>
      <c r="N10" s="12" t="s">
        <v>579</v>
      </c>
      <c r="O10" s="12" t="s">
        <v>580</v>
      </c>
      <c r="P10" s="12" t="s">
        <v>581</v>
      </c>
    </row>
    <row r="11" customFormat="false" ht="69.75" hidden="false" customHeight="true" outlineLevel="0" collapsed="false">
      <c r="A11" s="12" t="s">
        <v>218</v>
      </c>
      <c r="B11" s="37" t="s">
        <v>144</v>
      </c>
      <c r="C11" s="38" t="s">
        <v>144</v>
      </c>
      <c r="D11" s="12" t="s">
        <v>144</v>
      </c>
      <c r="E11" s="12" t="s">
        <v>147</v>
      </c>
      <c r="F11" s="15" t="s">
        <v>223</v>
      </c>
      <c r="G11" s="30" t="s">
        <v>144</v>
      </c>
      <c r="H11" s="12" t="s">
        <v>582</v>
      </c>
      <c r="I11" s="15" t="s">
        <v>583</v>
      </c>
      <c r="J11" s="12" t="s">
        <v>584</v>
      </c>
      <c r="K11" s="12" t="s">
        <v>585</v>
      </c>
      <c r="L11" s="12" t="s">
        <v>586</v>
      </c>
      <c r="M11" s="12" t="s">
        <v>587</v>
      </c>
      <c r="N11" s="12" t="s">
        <v>588</v>
      </c>
      <c r="O11" s="12" t="s">
        <v>589</v>
      </c>
      <c r="P11" s="12" t="s">
        <v>376</v>
      </c>
    </row>
    <row r="12" customFormat="false" ht="69.75" hidden="false" customHeight="true" outlineLevel="0" collapsed="false">
      <c r="A12" s="12" t="s">
        <v>225</v>
      </c>
      <c r="B12" s="37" t="s">
        <v>144</v>
      </c>
      <c r="C12" s="38" t="s">
        <v>144</v>
      </c>
      <c r="D12" s="12" t="s">
        <v>144</v>
      </c>
      <c r="E12" s="12" t="s">
        <v>147</v>
      </c>
      <c r="F12" s="15" t="s">
        <v>228</v>
      </c>
      <c r="G12" s="30" t="s">
        <v>144</v>
      </c>
      <c r="H12" s="12" t="s">
        <v>590</v>
      </c>
      <c r="I12" s="15" t="s">
        <v>591</v>
      </c>
      <c r="J12" s="12" t="s">
        <v>592</v>
      </c>
      <c r="K12" s="12" t="s">
        <v>593</v>
      </c>
      <c r="L12" s="12" t="s">
        <v>594</v>
      </c>
      <c r="M12" s="12" t="s">
        <v>595</v>
      </c>
      <c r="N12" s="12" t="s">
        <v>596</v>
      </c>
      <c r="O12" s="12" t="s">
        <v>597</v>
      </c>
      <c r="P12" s="12" t="s">
        <v>598</v>
      </c>
    </row>
    <row r="13" customFormat="false" ht="69.75" hidden="false" customHeight="true" outlineLevel="0" collapsed="false">
      <c r="A13" s="12" t="s">
        <v>243</v>
      </c>
      <c r="B13" s="14" t="n">
        <v>4.2</v>
      </c>
      <c r="C13" s="35" t="n">
        <v>198</v>
      </c>
      <c r="D13" s="12" t="s">
        <v>599</v>
      </c>
      <c r="E13" s="12" t="s">
        <v>147</v>
      </c>
      <c r="F13" s="15" t="s">
        <v>600</v>
      </c>
      <c r="G13" s="25" t="s">
        <v>601</v>
      </c>
      <c r="H13" s="12" t="s">
        <v>602</v>
      </c>
      <c r="I13" s="15" t="s">
        <v>494</v>
      </c>
      <c r="J13" s="12" t="s">
        <v>603</v>
      </c>
      <c r="K13" s="12" t="s">
        <v>604</v>
      </c>
      <c r="L13" s="12" t="s">
        <v>605</v>
      </c>
      <c r="M13" s="12" t="s">
        <v>569</v>
      </c>
      <c r="N13" s="12" t="s">
        <v>606</v>
      </c>
      <c r="O13" s="12" t="s">
        <v>607</v>
      </c>
      <c r="P13" s="12" t="s">
        <v>608</v>
      </c>
    </row>
    <row r="15" customFormat="false" ht="15" hidden="false" customHeight="false" outlineLevel="0" collapsed="false">
      <c r="A15" s="34" t="s">
        <v>609</v>
      </c>
    </row>
    <row r="17" customFormat="false" ht="15" hidden="false" customHeight="false" outlineLevel="0" collapsed="false">
      <c r="A17" s="3" t="s">
        <v>31</v>
      </c>
    </row>
    <row r="18" customFormat="false" ht="15" hidden="false" customHeight="false" outlineLevel="0" collapsed="false">
      <c r="A18" s="18" t="s">
        <v>32</v>
      </c>
    </row>
    <row r="19" customFormat="false" ht="15" hidden="false" customHeight="false" outlineLevel="0" collapsed="false">
      <c r="A19" s="19" t="s">
        <v>33</v>
      </c>
    </row>
    <row r="20" customFormat="false" ht="15" hidden="false" customHeight="false" outlineLevel="0" collapsed="false">
      <c r="A20" s="20" t="s">
        <v>34</v>
      </c>
    </row>
    <row r="21" customFormat="false" ht="15" hidden="false" customHeight="false" outlineLevel="0" collapsed="false">
      <c r="A21" s="21" t="s">
        <v>35</v>
      </c>
    </row>
    <row r="22" customFormat="false" ht="15" hidden="false" customHeight="false" outlineLevel="0" collapsed="false">
      <c r="A22" s="22" t="s">
        <v>36</v>
      </c>
    </row>
    <row r="23" customFormat="false" ht="15" hidden="false" customHeight="false" outlineLevel="0" collapsed="false">
      <c r="A23" s="23" t="s">
        <v>37</v>
      </c>
    </row>
  </sheetData>
  <mergeCells count="2">
    <mergeCell ref="A1:P1"/>
    <mergeCell ref="A2:P2"/>
  </mergeCells>
  <hyperlinks>
    <hyperlink ref="F5" r:id="rId1" display="https://www.mysmartprice.com/mobile/oneplus-nord-ce-6-5g-256gb-msp620884"/>
    <hyperlink ref="I5" r:id="rId2" display="https://www.smartprix.com/bytes/oneplus-nord-ce6-review-with-pros-and-cons/"/>
    <hyperlink ref="F6" r:id="rId3" display="https://www.mysmartprice.com/mobile/oppo-k13-turbo-pro-12gb-msp620188"/>
    <hyperlink ref="I6" r:id="rId4" display="https://www.digit.in/reviews/mobile-phones/oppo-k13-turbo-pro-review-power-doesnt-quit-cooling-fan-or-not.html"/>
    <hyperlink ref="F7" r:id="rId5" display="https://www.mysmartprice.com/mobile/iqoo-neo-10r-msp619551"/>
    <hyperlink ref="I7" r:id="rId6" display="https://www.digit.in/reviews/mobile-phones/iqoo-neo-10r-review-the-gaming-phone-you-were-waiting-for.html"/>
    <hyperlink ref="F8" r:id="rId7" display="https://www.91mobiles.com/realme-gt-7t-price-in-india"/>
    <hyperlink ref="I8" r:id="rId8" display="https://nanoreview.net/en/phone/realme-gt-7t"/>
    <hyperlink ref="F9" r:id="rId9" display="https://www.smartprix.com/mobiles/oneplus-nord-5-12gb-ram-256gb-ppd1b9svl1s7"/>
    <hyperlink ref="I9" r:id="rId10" display="https://www.fonearena.com/blog/458245/oneplus-nord-5-review.html"/>
    <hyperlink ref="F10" r:id="rId11" display="https://www.flipkart.com/poco-x8-pro-white-256-gb/p/itmaa692ca8a3b36"/>
    <hyperlink ref="I10" r:id="rId12" display="https://www.gsmarena.com/poco_x8_pro-review-2946p6.php"/>
    <hyperlink ref="F11" r:id="rId13" display="https://www.91mobiles.com/xiaomi-redmi-note-15-pro-plus-price-in-india"/>
    <hyperlink ref="I11" r:id="rId14" display="https://www.91mobiles.com/reviews/redmi-note-15-pro-plus-review/"/>
    <hyperlink ref="F12" r:id="rId15" display="https://www.91mobiles.com/vivo-t5-pro-price-in-india"/>
    <hyperlink ref="I12" r:id="rId16" display="https://gadgets.beebom.com/reviews/vivo-t5-pro-review"/>
    <hyperlink ref="F13" r:id="rId17" display="https://www.flipkart.com/motorola-edge-70-pro/p/itm70caeee0ca941"/>
    <hyperlink ref="I13" r:id="rId18" display="https://www.digit.in/reviews/mobile-phones/motorola-edge-70-pro-review-one-of-the-most-complete-phones-you-can-buy-but.html"/>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9"/>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A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3"/>
    <col collapsed="false" customWidth="true" hidden="false" outlineLevel="0" max="4" min="4" style="0" width="9"/>
    <col collapsed="false" customWidth="true" hidden="false" outlineLevel="0" max="5" min="5" style="0" width="26"/>
    <col collapsed="false" customWidth="true" hidden="false" outlineLevel="0" max="6" min="6" style="0" width="10"/>
    <col collapsed="false" customWidth="true" hidden="false" outlineLevel="0" max="7" min="7" style="0" width="13"/>
    <col collapsed="false" customWidth="true" hidden="false" outlineLevel="0" max="8" min="8" style="0" width="12"/>
    <col collapsed="false" customWidth="true" hidden="false" outlineLevel="0" max="10" min="9" style="0" width="10"/>
    <col collapsed="false" customWidth="true" hidden="false" outlineLevel="0" max="11" min="11" style="0" width="12"/>
    <col collapsed="false" customWidth="true" hidden="false" outlineLevel="0" max="13" min="12" style="0" width="10"/>
    <col collapsed="false" customWidth="true" hidden="false" outlineLevel="0" max="14" min="14" style="0" width="11"/>
    <col collapsed="false" customWidth="true" hidden="false" outlineLevel="0" max="16" min="15" style="0" width="10"/>
    <col collapsed="false" customWidth="true" hidden="false" outlineLevel="0" max="18" min="17" style="0" width="9"/>
    <col collapsed="false" customWidth="true" hidden="false" outlineLevel="0" max="20" min="19" style="0" width="10"/>
    <col collapsed="false" customWidth="true" hidden="false" outlineLevel="0" max="21" min="21" style="0" width="11"/>
    <col collapsed="false" customWidth="true" hidden="false" outlineLevel="0" max="22" min="22" style="0" width="12"/>
    <col collapsed="false" customWidth="true" hidden="false" outlineLevel="0" max="23" min="23" style="0" width="18"/>
    <col collapsed="false" customWidth="true" hidden="false" outlineLevel="0" max="24" min="24" style="0" width="70"/>
    <col collapsed="false" customWidth="true" hidden="true" outlineLevel="0" max="34" min="26" style="0" width="13"/>
  </cols>
  <sheetData>
    <row r="1" customFormat="false" ht="30" hidden="false" customHeight="true" outlineLevel="0" collapsed="false">
      <c r="A1" s="1" t="s">
        <v>610</v>
      </c>
      <c r="B1" s="1"/>
      <c r="C1" s="1"/>
      <c r="D1" s="1"/>
      <c r="E1" s="1"/>
      <c r="F1" s="1"/>
      <c r="G1" s="1"/>
      <c r="H1" s="1"/>
      <c r="I1" s="1"/>
      <c r="J1" s="1"/>
      <c r="K1" s="1"/>
      <c r="L1" s="1"/>
      <c r="M1" s="1"/>
      <c r="N1" s="1"/>
      <c r="O1" s="1"/>
      <c r="P1" s="1"/>
      <c r="Q1" s="1"/>
      <c r="R1" s="1"/>
      <c r="S1" s="1"/>
      <c r="T1" s="1"/>
      <c r="U1" s="1"/>
      <c r="V1" s="1"/>
      <c r="W1" s="1"/>
      <c r="X1" s="1"/>
    </row>
    <row r="2" customFormat="false" ht="42" hidden="false" customHeight="true" outlineLevel="0" collapsed="false">
      <c r="A2" s="2" t="s">
        <v>611</v>
      </c>
      <c r="B2" s="2"/>
      <c r="C2" s="2"/>
      <c r="D2" s="2"/>
      <c r="E2" s="2"/>
      <c r="F2" s="2"/>
      <c r="G2" s="2"/>
      <c r="H2" s="2"/>
      <c r="I2" s="2"/>
      <c r="J2" s="2"/>
      <c r="K2" s="2"/>
      <c r="L2" s="2"/>
      <c r="M2" s="2"/>
      <c r="N2" s="2"/>
      <c r="O2" s="2"/>
      <c r="P2" s="2"/>
      <c r="Q2" s="2"/>
      <c r="R2" s="2"/>
      <c r="S2" s="2"/>
      <c r="T2" s="2"/>
      <c r="U2" s="2"/>
      <c r="V2" s="2"/>
      <c r="W2" s="2"/>
      <c r="X2" s="2"/>
    </row>
    <row r="4" customFormat="false" ht="31.5" hidden="false" customHeight="true" outlineLevel="0" collapsed="false">
      <c r="A4" s="5" t="s">
        <v>612</v>
      </c>
      <c r="B4" s="5" t="s">
        <v>22</v>
      </c>
      <c r="C4" s="5" t="s">
        <v>6</v>
      </c>
      <c r="D4" s="5" t="s">
        <v>613</v>
      </c>
      <c r="E4" s="5" t="s">
        <v>73</v>
      </c>
      <c r="F4" s="5" t="s">
        <v>614</v>
      </c>
      <c r="G4" s="5" t="s">
        <v>7</v>
      </c>
      <c r="H4" s="5" t="s">
        <v>615</v>
      </c>
      <c r="I4" s="5" t="s">
        <v>616</v>
      </c>
      <c r="J4" s="5" t="s">
        <v>617</v>
      </c>
      <c r="K4" s="5" t="s">
        <v>618</v>
      </c>
      <c r="L4" s="5" t="s">
        <v>619</v>
      </c>
      <c r="M4" s="5" t="s">
        <v>620</v>
      </c>
      <c r="N4" s="5" t="s">
        <v>621</v>
      </c>
      <c r="O4" s="5" t="s">
        <v>622</v>
      </c>
      <c r="P4" s="5" t="s">
        <v>623</v>
      </c>
      <c r="Q4" s="5" t="s">
        <v>624</v>
      </c>
      <c r="R4" s="5" t="s">
        <v>625</v>
      </c>
      <c r="S4" s="5" t="s">
        <v>626</v>
      </c>
      <c r="T4" s="5" t="s">
        <v>627</v>
      </c>
      <c r="U4" s="5" t="s">
        <v>628</v>
      </c>
      <c r="V4" s="5" t="s">
        <v>629</v>
      </c>
      <c r="W4" s="5" t="s">
        <v>630</v>
      </c>
      <c r="X4" s="5" t="s">
        <v>631</v>
      </c>
      <c r="Z4" s="34" t="s">
        <v>632</v>
      </c>
      <c r="AA4" s="34" t="s">
        <v>633</v>
      </c>
      <c r="AB4" s="34" t="s">
        <v>634</v>
      </c>
      <c r="AC4" s="34" t="s">
        <v>635</v>
      </c>
      <c r="AD4" s="34" t="s">
        <v>636</v>
      </c>
      <c r="AE4" s="34" t="s">
        <v>637</v>
      </c>
      <c r="AF4" s="34" t="s">
        <v>638</v>
      </c>
      <c r="AG4" s="34" t="s">
        <v>639</v>
      </c>
      <c r="AH4" s="34" t="s">
        <v>640</v>
      </c>
    </row>
    <row r="5" customFormat="false" ht="61.5" hidden="false" customHeight="true" outlineLevel="0" collapsed="false">
      <c r="A5" s="12" t="s">
        <v>641</v>
      </c>
      <c r="B5" s="11" t="s">
        <v>642</v>
      </c>
      <c r="C5" s="12" t="s">
        <v>643</v>
      </c>
      <c r="D5" s="14" t="n">
        <v>2026</v>
      </c>
      <c r="E5" s="14" t="s">
        <v>259</v>
      </c>
      <c r="F5" s="31" t="n">
        <v>8</v>
      </c>
      <c r="G5" s="13" t="n">
        <v>36999</v>
      </c>
      <c r="H5" s="39" t="n">
        <v>15</v>
      </c>
      <c r="I5" s="39" t="n">
        <v>11</v>
      </c>
      <c r="J5" s="39" t="n">
        <v>9</v>
      </c>
      <c r="K5" s="39" t="n">
        <v>14</v>
      </c>
      <c r="L5" s="39" t="n">
        <v>6</v>
      </c>
      <c r="M5" s="39" t="n">
        <v>5</v>
      </c>
      <c r="N5" s="39" t="n">
        <v>4</v>
      </c>
      <c r="O5" s="39" t="n">
        <v>6</v>
      </c>
      <c r="P5" s="40" t="n">
        <f aca="false">SUM(H5:O5)</f>
        <v>70</v>
      </c>
      <c r="Q5" s="31" t="str">
        <f aca="false">IF(G5&lt;=40000,"Yes","No")</f>
        <v>Yes</v>
      </c>
      <c r="R5" s="31" t="str">
        <f aca="false">IF(F5&gt;=12,"Yes","No")</f>
        <v>No</v>
      </c>
      <c r="S5" s="31" t="s">
        <v>644</v>
      </c>
      <c r="T5" s="31" t="str">
        <f aca="false">IF(AND(Q5="Yes",R5="Yes",S5="Yes"),"Yes","No")</f>
        <v>No</v>
      </c>
      <c r="U5" s="31" t="str">
        <f aca="false">IF(T5="Yes",COUNTIFS($T$5:$T$13,"Yes",$P$5:$P$13,"&gt;"&amp;P5)+1,"Excluded")</f>
        <v>Excluded</v>
      </c>
      <c r="V5" s="26" t="n">
        <f aca="false">G5-$G$5</f>
        <v>0</v>
      </c>
      <c r="W5" s="15" t="str">
        <f aca="false">HYPERLINK("https://www.amazon.in/OnePlus-Snapdragon-Segments-Fastest-Response/dp/B0GWLHVJRH","Open listing / source")</f>
        <v>Open listing / source</v>
      </c>
      <c r="X5" s="12" t="s">
        <v>645</v>
      </c>
      <c r="Z5" s="41" t="n">
        <f aca="false">IF($T5="Yes",P5+(100-ROW())/1000,-1)</f>
        <v>-1</v>
      </c>
      <c r="AA5" s="41" t="n">
        <f aca="false">IF($T5="Yes",H5+(100-ROW())/1000,-1)</f>
        <v>-1</v>
      </c>
      <c r="AB5" s="41" t="n">
        <f aca="false">IF($T5="Yes",J5+(100-ROW())/1000,-1)</f>
        <v>-1</v>
      </c>
      <c r="AC5" s="41" t="n">
        <f aca="false">IF($T5="Yes",K5+(100-ROW())/1000,-1)</f>
        <v>-1</v>
      </c>
      <c r="AD5" s="41" t="n">
        <f aca="false">IF($T5="Yes",I5+(100-ROW())/1000,-1)</f>
        <v>-1</v>
      </c>
      <c r="AE5" s="41" t="n">
        <f aca="false">IF($T5="Yes",L5+(100-ROW())/1000,-1)</f>
        <v>-1</v>
      </c>
      <c r="AF5" s="41" t="n">
        <f aca="false">IF($T5="Yes",M5+(100-ROW())/1000,-1)</f>
        <v>-1</v>
      </c>
      <c r="AG5" s="41" t="n">
        <f aca="false">IF($T5="Yes",N5+(100-ROW())/1000,-1)</f>
        <v>-1</v>
      </c>
      <c r="AH5" s="41" t="n">
        <f aca="false">IF($T5="Yes",O5+(100-ROW())/1000,-1)</f>
        <v>-1</v>
      </c>
    </row>
    <row r="6" customFormat="false" ht="61.5" hidden="false" customHeight="true" outlineLevel="0" collapsed="false">
      <c r="A6" s="12" t="s">
        <v>646</v>
      </c>
      <c r="B6" s="11" t="s">
        <v>647</v>
      </c>
      <c r="C6" s="12" t="s">
        <v>648</v>
      </c>
      <c r="D6" s="14" t="n">
        <v>2025</v>
      </c>
      <c r="E6" s="14" t="s">
        <v>260</v>
      </c>
      <c r="F6" s="31" t="n">
        <v>12</v>
      </c>
      <c r="G6" s="13" t="n">
        <v>33999</v>
      </c>
      <c r="H6" s="39" t="n">
        <v>24</v>
      </c>
      <c r="I6" s="39" t="n">
        <v>11</v>
      </c>
      <c r="J6" s="39" t="n">
        <v>9</v>
      </c>
      <c r="K6" s="39" t="n">
        <v>12</v>
      </c>
      <c r="L6" s="39" t="n">
        <v>5</v>
      </c>
      <c r="M6" s="39" t="n">
        <v>4</v>
      </c>
      <c r="N6" s="39" t="n">
        <v>4</v>
      </c>
      <c r="O6" s="39" t="n">
        <v>9</v>
      </c>
      <c r="P6" s="40" t="n">
        <f aca="false">SUM(H6:O6)</f>
        <v>78</v>
      </c>
      <c r="Q6" s="31" t="str">
        <f aca="false">IF(G6&lt;=40000,"Yes","No")</f>
        <v>Yes</v>
      </c>
      <c r="R6" s="31" t="str">
        <f aca="false">IF(F6&gt;=12,"Yes","No")</f>
        <v>Yes</v>
      </c>
      <c r="S6" s="31" t="s">
        <v>389</v>
      </c>
      <c r="T6" s="31" t="str">
        <f aca="false">IF(AND(Q6="Yes",R6="Yes",S6="Yes"),"Yes","No")</f>
        <v>Yes</v>
      </c>
      <c r="U6" s="31" t="n">
        <f aca="false">IF(T6="Yes",COUNTIFS($T$5:$T$13,"Yes",$P$5:$P$13,"&gt;"&amp;P6)+1,"Excluded")</f>
        <v>3</v>
      </c>
      <c r="V6" s="26" t="n">
        <f aca="false">G6-$G$5</f>
        <v>-3000</v>
      </c>
      <c r="W6" s="15" t="str">
        <f aca="false">HYPERLINK("https://www.flipkart.com/oppo-k13-turbo-pro-5g-silver-knight-256-gb/p/itmeefeb718f01fe","Open listing / source")</f>
        <v>Open listing / source</v>
      </c>
      <c r="X6" s="12" t="s">
        <v>649</v>
      </c>
      <c r="Z6" s="41" t="n">
        <f aca="false">IF($T6="Yes",P6+(100-ROW())/1000,-1)</f>
        <v>78.094</v>
      </c>
      <c r="AA6" s="41" t="n">
        <f aca="false">IF($T6="Yes",H6+(100-ROW())/1000,-1)</f>
        <v>24.094</v>
      </c>
      <c r="AB6" s="41" t="n">
        <f aca="false">IF($T6="Yes",J6+(100-ROW())/1000,-1)</f>
        <v>9.094</v>
      </c>
      <c r="AC6" s="41" t="n">
        <f aca="false">IF($T6="Yes",K6+(100-ROW())/1000,-1)</f>
        <v>12.094</v>
      </c>
      <c r="AD6" s="41" t="n">
        <f aca="false">IF($T6="Yes",I6+(100-ROW())/1000,-1)</f>
        <v>11.094</v>
      </c>
      <c r="AE6" s="41" t="n">
        <f aca="false">IF($T6="Yes",L6+(100-ROW())/1000,-1)</f>
        <v>5.094</v>
      </c>
      <c r="AF6" s="41" t="n">
        <f aca="false">IF($T6="Yes",M6+(100-ROW())/1000,-1)</f>
        <v>4.094</v>
      </c>
      <c r="AG6" s="41" t="n">
        <f aca="false">IF($T6="Yes",N6+(100-ROW())/1000,-1)</f>
        <v>4.094</v>
      </c>
      <c r="AH6" s="41" t="n">
        <f aca="false">IF($T6="Yes",O6+(100-ROW())/1000,-1)</f>
        <v>9.094</v>
      </c>
    </row>
    <row r="7" customFormat="false" ht="61.5" hidden="false" customHeight="true" outlineLevel="0" collapsed="false">
      <c r="A7" s="12" t="s">
        <v>650</v>
      </c>
      <c r="B7" s="11" t="s">
        <v>651</v>
      </c>
      <c r="C7" s="12" t="s">
        <v>648</v>
      </c>
      <c r="D7" s="14" t="n">
        <v>2025</v>
      </c>
      <c r="E7" s="14" t="s">
        <v>261</v>
      </c>
      <c r="F7" s="31" t="n">
        <v>12</v>
      </c>
      <c r="G7" s="13" t="n">
        <v>27990</v>
      </c>
      <c r="H7" s="39" t="n">
        <v>20</v>
      </c>
      <c r="I7" s="39" t="n">
        <v>12</v>
      </c>
      <c r="J7" s="39" t="n">
        <v>10</v>
      </c>
      <c r="K7" s="39" t="n">
        <v>11</v>
      </c>
      <c r="L7" s="39" t="n">
        <v>6</v>
      </c>
      <c r="M7" s="39" t="n">
        <v>3</v>
      </c>
      <c r="N7" s="39" t="n">
        <v>5</v>
      </c>
      <c r="O7" s="39" t="n">
        <v>10</v>
      </c>
      <c r="P7" s="40" t="n">
        <f aca="false">SUM(H7:O7)</f>
        <v>77</v>
      </c>
      <c r="Q7" s="31" t="str">
        <f aca="false">IF(G7&lt;=40000,"Yes","No")</f>
        <v>Yes</v>
      </c>
      <c r="R7" s="31" t="str">
        <f aca="false">IF(F7&gt;=12,"Yes","No")</f>
        <v>Yes</v>
      </c>
      <c r="S7" s="31" t="s">
        <v>389</v>
      </c>
      <c r="T7" s="31" t="str">
        <f aca="false">IF(AND(Q7="Yes",R7="Yes",S7="Yes"),"Yes","No")</f>
        <v>Yes</v>
      </c>
      <c r="U7" s="31" t="n">
        <f aca="false">IF(T7="Yes",COUNTIFS($T$5:$T$13,"Yes",$P$5:$P$13,"&gt;"&amp;P7)+1,"Excluded")</f>
        <v>4</v>
      </c>
      <c r="V7" s="26" t="n">
        <f aca="false">G7-$G$5</f>
        <v>-9009</v>
      </c>
      <c r="W7" s="15" t="str">
        <f aca="false">HYPERLINK("https://www.91mobiles.com/iqoo-neo-10r-price-in-india","Open listing / source")</f>
        <v>Open listing / source</v>
      </c>
      <c r="X7" s="12" t="s">
        <v>652</v>
      </c>
      <c r="Z7" s="41" t="n">
        <f aca="false">IF($T7="Yes",P7+(100-ROW())/1000,-1)</f>
        <v>77.093</v>
      </c>
      <c r="AA7" s="41" t="n">
        <f aca="false">IF($T7="Yes",H7+(100-ROW())/1000,-1)</f>
        <v>20.093</v>
      </c>
      <c r="AB7" s="41" t="n">
        <f aca="false">IF($T7="Yes",J7+(100-ROW())/1000,-1)</f>
        <v>10.093</v>
      </c>
      <c r="AC7" s="41" t="n">
        <f aca="false">IF($T7="Yes",K7+(100-ROW())/1000,-1)</f>
        <v>11.093</v>
      </c>
      <c r="AD7" s="41" t="n">
        <f aca="false">IF($T7="Yes",I7+(100-ROW())/1000,-1)</f>
        <v>12.093</v>
      </c>
      <c r="AE7" s="41" t="n">
        <f aca="false">IF($T7="Yes",L7+(100-ROW())/1000,-1)</f>
        <v>6.093</v>
      </c>
      <c r="AF7" s="41" t="n">
        <f aca="false">IF($T7="Yes",M7+(100-ROW())/1000,-1)</f>
        <v>3.093</v>
      </c>
      <c r="AG7" s="41" t="n">
        <f aca="false">IF($T7="Yes",N7+(100-ROW())/1000,-1)</f>
        <v>5.093</v>
      </c>
      <c r="AH7" s="41" t="n">
        <f aca="false">IF($T7="Yes",O7+(100-ROW())/1000,-1)</f>
        <v>10.093</v>
      </c>
    </row>
    <row r="8" customFormat="false" ht="61.5" hidden="false" customHeight="true" outlineLevel="0" collapsed="false">
      <c r="A8" s="12" t="s">
        <v>653</v>
      </c>
      <c r="B8" s="11" t="s">
        <v>654</v>
      </c>
      <c r="C8" s="12" t="s">
        <v>648</v>
      </c>
      <c r="D8" s="14" t="n">
        <v>2025</v>
      </c>
      <c r="E8" s="14" t="s">
        <v>262</v>
      </c>
      <c r="F8" s="31" t="n">
        <v>12</v>
      </c>
      <c r="G8" s="13" t="n">
        <v>37999</v>
      </c>
      <c r="H8" s="39" t="n">
        <v>22</v>
      </c>
      <c r="I8" s="39" t="n">
        <v>13</v>
      </c>
      <c r="J8" s="39" t="n">
        <v>10</v>
      </c>
      <c r="K8" s="39" t="n">
        <v>13</v>
      </c>
      <c r="L8" s="39" t="n">
        <v>7</v>
      </c>
      <c r="M8" s="39" t="n">
        <v>4</v>
      </c>
      <c r="N8" s="39" t="n">
        <v>4</v>
      </c>
      <c r="O8" s="39" t="n">
        <v>8</v>
      </c>
      <c r="P8" s="40" t="n">
        <f aca="false">SUM(H8:O8)</f>
        <v>81</v>
      </c>
      <c r="Q8" s="31" t="str">
        <f aca="false">IF(G8&lt;=40000,"Yes","No")</f>
        <v>Yes</v>
      </c>
      <c r="R8" s="31" t="str">
        <f aca="false">IF(F8&gt;=12,"Yes","No")</f>
        <v>Yes</v>
      </c>
      <c r="S8" s="31" t="s">
        <v>389</v>
      </c>
      <c r="T8" s="31" t="str">
        <f aca="false">IF(AND(Q8="Yes",R8="Yes",S8="Yes"),"Yes","No")</f>
        <v>Yes</v>
      </c>
      <c r="U8" s="31" t="n">
        <f aca="false">IF(T8="Yes",COUNTIFS($T$5:$T$13,"Yes",$P$5:$P$13,"&gt;"&amp;P8)+1,"Excluded")</f>
        <v>1</v>
      </c>
      <c r="V8" s="26" t="n">
        <f aca="false">G8-$G$5</f>
        <v>1000</v>
      </c>
      <c r="W8" s="15" t="str">
        <f aca="false">HYPERLINK("https://www.reliancedigital.in/product/realme-gt-7t-5g-256-gb-12-gb-ram-blue-mobile-phone-mbgan1-9247285","Open listing / source")</f>
        <v>Open listing / source</v>
      </c>
      <c r="X8" s="12" t="s">
        <v>655</v>
      </c>
      <c r="Z8" s="41" t="n">
        <f aca="false">IF($T8="Yes",P8+(100-ROW())/1000,-1)</f>
        <v>81.092</v>
      </c>
      <c r="AA8" s="41" t="n">
        <f aca="false">IF($T8="Yes",H8+(100-ROW())/1000,-1)</f>
        <v>22.092</v>
      </c>
      <c r="AB8" s="41" t="n">
        <f aca="false">IF($T8="Yes",J8+(100-ROW())/1000,-1)</f>
        <v>10.092</v>
      </c>
      <c r="AC8" s="41" t="n">
        <f aca="false">IF($T8="Yes",K8+(100-ROW())/1000,-1)</f>
        <v>13.092</v>
      </c>
      <c r="AD8" s="41" t="n">
        <f aca="false">IF($T8="Yes",I8+(100-ROW())/1000,-1)</f>
        <v>13.092</v>
      </c>
      <c r="AE8" s="41" t="n">
        <f aca="false">IF($T8="Yes",L8+(100-ROW())/1000,-1)</f>
        <v>7.092</v>
      </c>
      <c r="AF8" s="41" t="n">
        <f aca="false">IF($T8="Yes",M8+(100-ROW())/1000,-1)</f>
        <v>4.092</v>
      </c>
      <c r="AG8" s="41" t="n">
        <f aca="false">IF($T8="Yes",N8+(100-ROW())/1000,-1)</f>
        <v>4.092</v>
      </c>
      <c r="AH8" s="41" t="n">
        <f aca="false">IF($T8="Yes",O8+(100-ROW())/1000,-1)</f>
        <v>8.092</v>
      </c>
    </row>
    <row r="9" customFormat="false" ht="61.5" hidden="false" customHeight="true" outlineLevel="0" collapsed="false">
      <c r="A9" s="12" t="s">
        <v>656</v>
      </c>
      <c r="B9" s="11" t="s">
        <v>203</v>
      </c>
      <c r="C9" s="12" t="s">
        <v>648</v>
      </c>
      <c r="D9" s="14" t="n">
        <v>2025</v>
      </c>
      <c r="E9" s="14" t="s">
        <v>261</v>
      </c>
      <c r="F9" s="31" t="n">
        <v>12</v>
      </c>
      <c r="G9" s="13" t="n">
        <v>36999</v>
      </c>
      <c r="H9" s="39" t="n">
        <v>20</v>
      </c>
      <c r="I9" s="39" t="n">
        <v>12</v>
      </c>
      <c r="J9" s="39" t="n">
        <v>11</v>
      </c>
      <c r="K9" s="39" t="n">
        <v>12</v>
      </c>
      <c r="L9" s="39" t="n">
        <v>7</v>
      </c>
      <c r="M9" s="39" t="n">
        <v>3</v>
      </c>
      <c r="N9" s="39" t="n">
        <v>2</v>
      </c>
      <c r="O9" s="39" t="n">
        <v>7</v>
      </c>
      <c r="P9" s="40" t="n">
        <f aca="false">SUM(H9:O9)</f>
        <v>74</v>
      </c>
      <c r="Q9" s="31" t="str">
        <f aca="false">IF(G9&lt;=40000,"Yes","No")</f>
        <v>Yes</v>
      </c>
      <c r="R9" s="31" t="str">
        <f aca="false">IF(F9&gt;=12,"Yes","No")</f>
        <v>Yes</v>
      </c>
      <c r="S9" s="31" t="s">
        <v>389</v>
      </c>
      <c r="T9" s="31" t="str">
        <f aca="false">IF(AND(Q9="Yes",R9="Yes",S9="Yes"),"Yes","No")</f>
        <v>Yes</v>
      </c>
      <c r="U9" s="31" t="n">
        <f aca="false">IF(T9="Yes",COUNTIFS($T$5:$T$13,"Yes",$P$5:$P$13,"&gt;"&amp;P9)+1,"Excluded")</f>
        <v>5</v>
      </c>
      <c r="V9" s="26" t="n">
        <f aca="false">G9-$G$5</f>
        <v>0</v>
      </c>
      <c r="W9" s="15" t="str">
        <f aca="false">HYPERLINK("https://www.bajajfinserv.in/oneplus-nord-5-price-in-india","Open listing / source")</f>
        <v>Open listing / source</v>
      </c>
      <c r="X9" s="12" t="s">
        <v>657</v>
      </c>
      <c r="Z9" s="41" t="n">
        <f aca="false">IF($T9="Yes",P9+(100-ROW())/1000,-1)</f>
        <v>74.091</v>
      </c>
      <c r="AA9" s="41" t="n">
        <f aca="false">IF($T9="Yes",H9+(100-ROW())/1000,-1)</f>
        <v>20.091</v>
      </c>
      <c r="AB9" s="41" t="n">
        <f aca="false">IF($T9="Yes",J9+(100-ROW())/1000,-1)</f>
        <v>11.091</v>
      </c>
      <c r="AC9" s="41" t="n">
        <f aca="false">IF($T9="Yes",K9+(100-ROW())/1000,-1)</f>
        <v>12.091</v>
      </c>
      <c r="AD9" s="41" t="n">
        <f aca="false">IF($T9="Yes",I9+(100-ROW())/1000,-1)</f>
        <v>12.091</v>
      </c>
      <c r="AE9" s="41" t="n">
        <f aca="false">IF($T9="Yes",L9+(100-ROW())/1000,-1)</f>
        <v>7.091</v>
      </c>
      <c r="AF9" s="41" t="n">
        <f aca="false">IF($T9="Yes",M9+(100-ROW())/1000,-1)</f>
        <v>3.091</v>
      </c>
      <c r="AG9" s="41" t="n">
        <f aca="false">IF($T9="Yes",N9+(100-ROW())/1000,-1)</f>
        <v>2.091</v>
      </c>
      <c r="AH9" s="41" t="n">
        <f aca="false">IF($T9="Yes",O9+(100-ROW())/1000,-1)</f>
        <v>7.091</v>
      </c>
    </row>
    <row r="10" customFormat="false" ht="61.5" hidden="false" customHeight="true" outlineLevel="0" collapsed="false">
      <c r="A10" s="12" t="s">
        <v>658</v>
      </c>
      <c r="B10" s="11" t="s">
        <v>659</v>
      </c>
      <c r="C10" s="12" t="s">
        <v>648</v>
      </c>
      <c r="D10" s="14" t="n">
        <v>2026</v>
      </c>
      <c r="E10" s="14" t="s">
        <v>263</v>
      </c>
      <c r="F10" s="31" t="n">
        <v>12</v>
      </c>
      <c r="G10" s="13" t="n">
        <v>39999</v>
      </c>
      <c r="H10" s="39" t="n">
        <v>24</v>
      </c>
      <c r="I10" s="39" t="n">
        <v>12</v>
      </c>
      <c r="J10" s="39" t="n">
        <v>9</v>
      </c>
      <c r="K10" s="39" t="n">
        <v>12</v>
      </c>
      <c r="L10" s="39" t="n">
        <v>6</v>
      </c>
      <c r="M10" s="39" t="n">
        <v>5</v>
      </c>
      <c r="N10" s="39" t="n">
        <v>4</v>
      </c>
      <c r="O10" s="39" t="n">
        <v>7</v>
      </c>
      <c r="P10" s="40" t="n">
        <f aca="false">SUM(H10:O10)</f>
        <v>79</v>
      </c>
      <c r="Q10" s="31" t="str">
        <f aca="false">IF(G10&lt;=40000,"Yes","No")</f>
        <v>Yes</v>
      </c>
      <c r="R10" s="31" t="str">
        <f aca="false">IF(F10&gt;=12,"Yes","No")</f>
        <v>Yes</v>
      </c>
      <c r="S10" s="31" t="s">
        <v>389</v>
      </c>
      <c r="T10" s="31" t="str">
        <f aca="false">IF(AND(Q10="Yes",R10="Yes",S10="Yes"),"Yes","No")</f>
        <v>Yes</v>
      </c>
      <c r="U10" s="31" t="n">
        <f aca="false">IF(T10="Yes",COUNTIFS($T$5:$T$13,"Yes",$P$5:$P$13,"&gt;"&amp;P10)+1,"Excluded")</f>
        <v>2</v>
      </c>
      <c r="V10" s="26" t="n">
        <f aca="false">G10-$G$5</f>
        <v>3000</v>
      </c>
      <c r="W10" s="15" t="str">
        <f aca="false">HYPERLINK("https://www.smartprix.com/mobiles/poco-x8-pro-5g-12gb-ram-256gb-ppd15mvem8mu","Open listing / source")</f>
        <v>Open listing / source</v>
      </c>
      <c r="X10" s="12" t="s">
        <v>660</v>
      </c>
      <c r="Z10" s="41" t="n">
        <f aca="false">IF($T10="Yes",P10+(100-ROW())/1000,-1)</f>
        <v>79.09</v>
      </c>
      <c r="AA10" s="41" t="n">
        <f aca="false">IF($T10="Yes",H10+(100-ROW())/1000,-1)</f>
        <v>24.09</v>
      </c>
      <c r="AB10" s="41" t="n">
        <f aca="false">IF($T10="Yes",J10+(100-ROW())/1000,-1)</f>
        <v>9.09</v>
      </c>
      <c r="AC10" s="41" t="n">
        <f aca="false">IF($T10="Yes",K10+(100-ROW())/1000,-1)</f>
        <v>12.09</v>
      </c>
      <c r="AD10" s="41" t="n">
        <f aca="false">IF($T10="Yes",I10+(100-ROW())/1000,-1)</f>
        <v>12.09</v>
      </c>
      <c r="AE10" s="41" t="n">
        <f aca="false">IF($T10="Yes",L10+(100-ROW())/1000,-1)</f>
        <v>6.09</v>
      </c>
      <c r="AF10" s="41" t="n">
        <f aca="false">IF($T10="Yes",M10+(100-ROW())/1000,-1)</f>
        <v>5.09</v>
      </c>
      <c r="AG10" s="41" t="n">
        <f aca="false">IF($T10="Yes",N10+(100-ROW())/1000,-1)</f>
        <v>4.09</v>
      </c>
      <c r="AH10" s="41" t="n">
        <f aca="false">IF($T10="Yes",O10+(100-ROW())/1000,-1)</f>
        <v>7.09</v>
      </c>
    </row>
    <row r="11" customFormat="false" ht="61.5" hidden="false" customHeight="true" outlineLevel="0" collapsed="false">
      <c r="A11" s="12" t="s">
        <v>661</v>
      </c>
      <c r="B11" s="11" t="s">
        <v>662</v>
      </c>
      <c r="C11" s="12" t="s">
        <v>663</v>
      </c>
      <c r="D11" s="14" t="n">
        <v>2026</v>
      </c>
      <c r="E11" s="14" t="s">
        <v>259</v>
      </c>
      <c r="F11" s="31" t="n">
        <v>12</v>
      </c>
      <c r="G11" s="13" t="n">
        <v>38990</v>
      </c>
      <c r="H11" s="39" t="n">
        <v>15</v>
      </c>
      <c r="I11" s="39" t="n">
        <v>12</v>
      </c>
      <c r="J11" s="39" t="n">
        <v>12</v>
      </c>
      <c r="K11" s="39" t="n">
        <v>12</v>
      </c>
      <c r="L11" s="39" t="n">
        <v>8</v>
      </c>
      <c r="M11" s="39" t="n">
        <v>5</v>
      </c>
      <c r="N11" s="39" t="n">
        <v>2</v>
      </c>
      <c r="O11" s="39" t="n">
        <v>7</v>
      </c>
      <c r="P11" s="40" t="n">
        <f aca="false">SUM(H11:O11)</f>
        <v>73</v>
      </c>
      <c r="Q11" s="31" t="str">
        <f aca="false">IF(G11&lt;=40000,"Yes","No")</f>
        <v>Yes</v>
      </c>
      <c r="R11" s="31" t="str">
        <f aca="false">IF(F11&gt;=12,"Yes","No")</f>
        <v>Yes</v>
      </c>
      <c r="S11" s="31" t="s">
        <v>389</v>
      </c>
      <c r="T11" s="31" t="str">
        <f aca="false">IF(AND(Q11="Yes",R11="Yes",S11="Yes"),"Yes","No")</f>
        <v>Yes</v>
      </c>
      <c r="U11" s="31" t="n">
        <f aca="false">IF(T11="Yes",COUNTIFS($T$5:$T$13,"Yes",$P$5:$P$13,"&gt;"&amp;P11)+1,"Excluded")</f>
        <v>6</v>
      </c>
      <c r="V11" s="26" t="n">
        <f aca="false">G11-$G$5</f>
        <v>1991</v>
      </c>
      <c r="W11" s="15" t="str">
        <f aca="false">HYPERLINK("https://www.flipkart.com/redmi-note-15-pro-5g-carbon-black-512-gb/p/itm3174106e5bf60","Open listing / source")</f>
        <v>Open listing / source</v>
      </c>
      <c r="X11" s="12" t="s">
        <v>664</v>
      </c>
      <c r="Z11" s="41" t="n">
        <f aca="false">IF($T11="Yes",P11+(100-ROW())/1000,-1)</f>
        <v>73.089</v>
      </c>
      <c r="AA11" s="41" t="n">
        <f aca="false">IF($T11="Yes",H11+(100-ROW())/1000,-1)</f>
        <v>15.089</v>
      </c>
      <c r="AB11" s="41" t="n">
        <f aca="false">IF($T11="Yes",J11+(100-ROW())/1000,-1)</f>
        <v>12.089</v>
      </c>
      <c r="AC11" s="41" t="n">
        <f aca="false">IF($T11="Yes",K11+(100-ROW())/1000,-1)</f>
        <v>12.089</v>
      </c>
      <c r="AD11" s="41" t="n">
        <f aca="false">IF($T11="Yes",I11+(100-ROW())/1000,-1)</f>
        <v>12.089</v>
      </c>
      <c r="AE11" s="41" t="n">
        <f aca="false">IF($T11="Yes",L11+(100-ROW())/1000,-1)</f>
        <v>8.089</v>
      </c>
      <c r="AF11" s="41" t="n">
        <f aca="false">IF($T11="Yes",M11+(100-ROW())/1000,-1)</f>
        <v>5.089</v>
      </c>
      <c r="AG11" s="41" t="n">
        <f aca="false">IF($T11="Yes",N11+(100-ROW())/1000,-1)</f>
        <v>2.089</v>
      </c>
      <c r="AH11" s="41" t="n">
        <f aca="false">IF($T11="Yes",O11+(100-ROW())/1000,-1)</f>
        <v>7.089</v>
      </c>
    </row>
    <row r="12" customFormat="false" ht="61.5" hidden="false" customHeight="true" outlineLevel="0" collapsed="false">
      <c r="A12" s="12" t="s">
        <v>665</v>
      </c>
      <c r="B12" s="11" t="s">
        <v>666</v>
      </c>
      <c r="C12" s="12" t="s">
        <v>648</v>
      </c>
      <c r="D12" s="14" t="n">
        <v>2026</v>
      </c>
      <c r="E12" s="14" t="s">
        <v>259</v>
      </c>
      <c r="F12" s="31" t="n">
        <v>12</v>
      </c>
      <c r="G12" s="13" t="n">
        <v>39999</v>
      </c>
      <c r="H12" s="39" t="n">
        <v>15</v>
      </c>
      <c r="I12" s="39" t="n">
        <v>12</v>
      </c>
      <c r="J12" s="39" t="n">
        <v>8</v>
      </c>
      <c r="K12" s="39" t="n">
        <v>15</v>
      </c>
      <c r="L12" s="39" t="n">
        <v>5</v>
      </c>
      <c r="M12" s="39" t="n">
        <v>5</v>
      </c>
      <c r="N12" s="39" t="n">
        <v>2</v>
      </c>
      <c r="O12" s="39" t="n">
        <v>6</v>
      </c>
      <c r="P12" s="40" t="n">
        <f aca="false">SUM(H12:O12)</f>
        <v>68</v>
      </c>
      <c r="Q12" s="31" t="str">
        <f aca="false">IF(G12&lt;=40000,"Yes","No")</f>
        <v>Yes</v>
      </c>
      <c r="R12" s="31" t="str">
        <f aca="false">IF(F12&gt;=12,"Yes","No")</f>
        <v>Yes</v>
      </c>
      <c r="S12" s="31" t="s">
        <v>389</v>
      </c>
      <c r="T12" s="31" t="str">
        <f aca="false">IF(AND(Q12="Yes",R12="Yes",S12="Yes"),"Yes","No")</f>
        <v>Yes</v>
      </c>
      <c r="U12" s="31" t="n">
        <f aca="false">IF(T12="Yes",COUNTIFS($T$5:$T$13,"Yes",$P$5:$P$13,"&gt;"&amp;P12)+1,"Excluded")</f>
        <v>7</v>
      </c>
      <c r="V12" s="26" t="n">
        <f aca="false">G12-$G$5</f>
        <v>3000</v>
      </c>
      <c r="W12" s="15" t="str">
        <f aca="false">HYPERLINK("https://www.91mobiles.com/vivo-t5-pro-price-in-india","Open listing / source")</f>
        <v>Open listing / source</v>
      </c>
      <c r="X12" s="12" t="s">
        <v>667</v>
      </c>
      <c r="Z12" s="41" t="n">
        <f aca="false">IF($T12="Yes",P12+(100-ROW())/1000,-1)</f>
        <v>68.088</v>
      </c>
      <c r="AA12" s="41" t="n">
        <f aca="false">IF($T12="Yes",H12+(100-ROW())/1000,-1)</f>
        <v>15.088</v>
      </c>
      <c r="AB12" s="41" t="n">
        <f aca="false">IF($T12="Yes",J12+(100-ROW())/1000,-1)</f>
        <v>8.088</v>
      </c>
      <c r="AC12" s="41" t="n">
        <f aca="false">IF($T12="Yes",K12+(100-ROW())/1000,-1)</f>
        <v>15.088</v>
      </c>
      <c r="AD12" s="41" t="n">
        <f aca="false">IF($T12="Yes",I12+(100-ROW())/1000,-1)</f>
        <v>12.088</v>
      </c>
      <c r="AE12" s="41" t="n">
        <f aca="false">IF($T12="Yes",L12+(100-ROW())/1000,-1)</f>
        <v>5.088</v>
      </c>
      <c r="AF12" s="41" t="n">
        <f aca="false">IF($T12="Yes",M12+(100-ROW())/1000,-1)</f>
        <v>5.088</v>
      </c>
      <c r="AG12" s="41" t="n">
        <f aca="false">IF($T12="Yes",N12+(100-ROW())/1000,-1)</f>
        <v>2.088</v>
      </c>
      <c r="AH12" s="41" t="n">
        <f aca="false">IF($T12="Yes",O12+(100-ROW())/1000,-1)</f>
        <v>6.088</v>
      </c>
    </row>
    <row r="13" customFormat="false" ht="61.5" hidden="false" customHeight="true" outlineLevel="0" collapsed="false">
      <c r="A13" s="12" t="s">
        <v>668</v>
      </c>
      <c r="B13" s="11" t="s">
        <v>669</v>
      </c>
      <c r="C13" s="12" t="s">
        <v>648</v>
      </c>
      <c r="D13" s="14" t="n">
        <v>2026</v>
      </c>
      <c r="E13" s="14" t="s">
        <v>264</v>
      </c>
      <c r="F13" s="31" t="n">
        <v>12</v>
      </c>
      <c r="G13" s="13" t="n">
        <v>42985</v>
      </c>
      <c r="H13" s="39" t="n">
        <v>23</v>
      </c>
      <c r="I13" s="39" t="n">
        <v>14</v>
      </c>
      <c r="J13" s="39" t="n">
        <v>13</v>
      </c>
      <c r="K13" s="39" t="n">
        <v>12</v>
      </c>
      <c r="L13" s="39" t="n">
        <v>8</v>
      </c>
      <c r="M13" s="39" t="n">
        <v>5</v>
      </c>
      <c r="N13" s="39" t="n">
        <v>3</v>
      </c>
      <c r="O13" s="39" t="n">
        <v>6</v>
      </c>
      <c r="P13" s="40" t="n">
        <f aca="false">SUM(H13:O13)</f>
        <v>84</v>
      </c>
      <c r="Q13" s="31" t="str">
        <f aca="false">IF(G13&lt;=40000,"Yes","No")</f>
        <v>No</v>
      </c>
      <c r="R13" s="31" t="str">
        <f aca="false">IF(F13&gt;=12,"Yes","No")</f>
        <v>Yes</v>
      </c>
      <c r="S13" s="31" t="s">
        <v>389</v>
      </c>
      <c r="T13" s="31" t="str">
        <f aca="false">IF(AND(Q13="Yes",R13="Yes",S13="Yes"),"Yes","No")</f>
        <v>No</v>
      </c>
      <c r="U13" s="31" t="str">
        <f aca="false">IF(T13="Yes",COUNTIFS($T$5:$T$13,"Yes",$P$5:$P$13,"&gt;"&amp;P13)+1,"Excluded")</f>
        <v>Excluded</v>
      </c>
      <c r="V13" s="26" t="n">
        <f aca="false">G13-$G$5</f>
        <v>5986</v>
      </c>
      <c r="W13" s="15" t="str">
        <f aca="false">HYPERLINK("https://www.91mobiles.com/motorola-edge-70-pro-5g-price-in-india","Open listing / source")</f>
        <v>Open listing / source</v>
      </c>
      <c r="X13" s="12" t="s">
        <v>670</v>
      </c>
      <c r="Z13" s="41" t="n">
        <f aca="false">IF($T13="Yes",P13+(100-ROW())/1000,-1)</f>
        <v>-1</v>
      </c>
      <c r="AA13" s="41" t="n">
        <f aca="false">IF($T13="Yes",H13+(100-ROW())/1000,-1)</f>
        <v>-1</v>
      </c>
      <c r="AB13" s="41" t="n">
        <f aca="false">IF($T13="Yes",J13+(100-ROW())/1000,-1)</f>
        <v>-1</v>
      </c>
      <c r="AC13" s="41" t="n">
        <f aca="false">IF($T13="Yes",K13+(100-ROW())/1000,-1)</f>
        <v>-1</v>
      </c>
      <c r="AD13" s="41" t="n">
        <f aca="false">IF($T13="Yes",I13+(100-ROW())/1000,-1)</f>
        <v>-1</v>
      </c>
      <c r="AE13" s="41" t="n">
        <f aca="false">IF($T13="Yes",L13+(100-ROW())/1000,-1)</f>
        <v>-1</v>
      </c>
      <c r="AF13" s="41" t="n">
        <f aca="false">IF($T13="Yes",M13+(100-ROW())/1000,-1)</f>
        <v>-1</v>
      </c>
      <c r="AG13" s="41" t="n">
        <f aca="false">IF($T13="Yes",N13+(100-ROW())/1000,-1)</f>
        <v>-1</v>
      </c>
      <c r="AH13" s="41" t="n">
        <f aca="false">IF($T13="Yes",O13+(100-ROW())/1000,-1)</f>
        <v>-1</v>
      </c>
    </row>
    <row r="14" customFormat="false" ht="15" hidden="false" customHeight="false" outlineLevel="0" collapsed="false">
      <c r="A14" s="42"/>
      <c r="B14" s="42" t="s">
        <v>671</v>
      </c>
      <c r="C14" s="42"/>
      <c r="D14" s="42"/>
      <c r="E14" s="42"/>
      <c r="F14" s="42"/>
      <c r="G14" s="42"/>
      <c r="H14" s="42" t="n">
        <v>25</v>
      </c>
      <c r="I14" s="42" t="n">
        <v>15</v>
      </c>
      <c r="J14" s="42" t="n">
        <v>15</v>
      </c>
      <c r="K14" s="42" t="n">
        <v>15</v>
      </c>
      <c r="L14" s="42" t="n">
        <v>10</v>
      </c>
      <c r="M14" s="42" t="n">
        <v>5</v>
      </c>
      <c r="N14" s="42" t="n">
        <v>5</v>
      </c>
      <c r="O14" s="42" t="n">
        <v>10</v>
      </c>
      <c r="P14" s="42" t="n">
        <f aca="false">SUM(H14:O14)</f>
        <v>100</v>
      </c>
      <c r="Q14" s="42"/>
      <c r="R14" s="42"/>
      <c r="S14" s="42"/>
      <c r="T14" s="42"/>
      <c r="U14" s="42"/>
      <c r="V14" s="42"/>
      <c r="W14" s="42"/>
      <c r="X14" s="42"/>
    </row>
    <row r="16" customFormat="false" ht="15" hidden="false" customHeight="false" outlineLevel="0" collapsed="false">
      <c r="B16" s="3" t="s">
        <v>672</v>
      </c>
    </row>
    <row r="17" customFormat="false" ht="35.05" hidden="false" customHeight="false" outlineLevel="0" collapsed="false">
      <c r="B17" s="5" t="s">
        <v>673</v>
      </c>
      <c r="C17" s="5" t="s">
        <v>674</v>
      </c>
      <c r="D17" s="5" t="s">
        <v>675</v>
      </c>
      <c r="E17" s="5" t="s">
        <v>6</v>
      </c>
      <c r="F17" s="5" t="s">
        <v>7</v>
      </c>
    </row>
    <row r="18" customFormat="false" ht="23.85" hidden="false" customHeight="false" outlineLevel="0" collapsed="false">
      <c r="B18" s="12" t="s">
        <v>676</v>
      </c>
      <c r="C18" s="12" t="n">
        <f aca="false">_xlfn.MAXIFS($P$5:$P$13,$T$5:$T$13,"Yes")</f>
        <v>81</v>
      </c>
      <c r="D18" s="12" t="str">
        <f aca="false">INDEX($B$5:$B$13,MATCH(1,INDEX(($P$5:$P$13=C18)*($T$5:$T$13="Yes"),0),0))</f>
        <v>realme GT 7T 5G</v>
      </c>
      <c r="E18" s="12" t="str">
        <f aca="false">INDEX($C$5:$C$13,MATCH(D18,$B$5:$B$13,0))</f>
        <v>12GB + 256GB</v>
      </c>
      <c r="F18" s="26" t="n">
        <f aca="false">INDEX($G$5:$G$13,MATCH(D18,$B$5:$B$13,0))</f>
        <v>37999</v>
      </c>
    </row>
    <row r="19" customFormat="false" ht="35.05" hidden="false" customHeight="false" outlineLevel="0" collapsed="false">
      <c r="B19" s="12" t="s">
        <v>677</v>
      </c>
      <c r="C19" s="12" t="n">
        <f aca="false">_xlfn.MAXIFS($H$5:$H$13,$T$5:$T$13,"Yes")</f>
        <v>24</v>
      </c>
      <c r="D19" s="12" t="str">
        <f aca="false">INDEX($B$5:$B$13,MATCH(1,INDEX(($H$5:$H$13=C19)*($T$5:$T$13="Yes"),0),0))</f>
        <v>OPPO K13 Turbo Pro 5G</v>
      </c>
      <c r="E19" s="12" t="str">
        <f aca="false">INDEX($C$5:$C$13,MATCH(D19,$B$5:$B$13,0))</f>
        <v>12GB + 256GB</v>
      </c>
      <c r="F19" s="26" t="n">
        <f aca="false">INDEX($G$5:$G$13,MATCH(D19,$B$5:$B$13,0))</f>
        <v>33999</v>
      </c>
    </row>
    <row r="20" customFormat="false" ht="23.85" hidden="false" customHeight="false" outlineLevel="0" collapsed="false">
      <c r="B20" s="12" t="s">
        <v>77</v>
      </c>
      <c r="C20" s="12" t="n">
        <f aca="false">_xlfn.MAXIFS($I$5:$I$13,$T$5:$T$13,"Yes")</f>
        <v>13</v>
      </c>
      <c r="D20" s="12" t="str">
        <f aca="false">INDEX($B$5:$B$13,MATCH(1,INDEX(($I$5:$I$13=C20)*($T$5:$T$13="Yes"),0),0))</f>
        <v>realme GT 7T 5G</v>
      </c>
      <c r="E20" s="12" t="str">
        <f aca="false">INDEX($C$5:$C$13,MATCH(D20,$B$5:$B$13,0))</f>
        <v>12GB + 256GB</v>
      </c>
      <c r="F20" s="26" t="n">
        <f aca="false">INDEX($G$5:$G$13,MATCH(D20,$B$5:$B$13,0))</f>
        <v>37999</v>
      </c>
    </row>
    <row r="21" customFormat="false" ht="35.05" hidden="false" customHeight="false" outlineLevel="0" collapsed="false">
      <c r="B21" s="12" t="s">
        <v>678</v>
      </c>
      <c r="C21" s="12" t="n">
        <f aca="false">_xlfn.MAXIFS($J$5:$J$13,$T$5:$T$13,"Yes")</f>
        <v>12</v>
      </c>
      <c r="D21" s="12" t="str">
        <f aca="false">INDEX($B$5:$B$13,MATCH(1,INDEX(($J$5:$J$13=C21)*($T$5:$T$13="Yes"),0),0))</f>
        <v>Redmi Note 15 Pro+ 5G</v>
      </c>
      <c r="E21" s="12" t="str">
        <f aca="false">INDEX($C$5:$C$13,MATCH(D21,$B$5:$B$13,0))</f>
        <v>12GB + 512GB</v>
      </c>
      <c r="F21" s="26" t="n">
        <f aca="false">INDEX($G$5:$G$13,MATCH(D21,$B$5:$B$13,0))</f>
        <v>38990</v>
      </c>
    </row>
    <row r="22" customFormat="false" ht="23.85" hidden="false" customHeight="false" outlineLevel="0" collapsed="false">
      <c r="B22" s="12" t="s">
        <v>679</v>
      </c>
      <c r="C22" s="12" t="n">
        <f aca="false">_xlfn.MAXIFS($K$5:$K$13,$T$5:$T$13,"Yes")</f>
        <v>15</v>
      </c>
      <c r="D22" s="12" t="str">
        <f aca="false">INDEX($B$5:$B$13,MATCH(1,INDEX(($K$5:$K$13=C22)*($T$5:$T$13="Yes"),0),0))</f>
        <v>vivo T5 Pro 5G</v>
      </c>
      <c r="E22" s="12" t="str">
        <f aca="false">INDEX($C$5:$C$13,MATCH(D22,$B$5:$B$13,0))</f>
        <v>12GB + 256GB</v>
      </c>
      <c r="F22" s="26" t="n">
        <f aca="false">INDEX($G$5:$G$13,MATCH(D22,$B$5:$B$13,0))</f>
        <v>39999</v>
      </c>
    </row>
    <row r="23" customFormat="false" ht="35.05" hidden="false" customHeight="false" outlineLevel="0" collapsed="false">
      <c r="B23" s="12" t="s">
        <v>680</v>
      </c>
      <c r="C23" s="12" t="n">
        <f aca="false">_xlfn.MAXIFS($L$5:$L$13,$T$5:$T$13,"Yes")</f>
        <v>8</v>
      </c>
      <c r="D23" s="12" t="str">
        <f aca="false">INDEX($B$5:$B$13,MATCH(1,INDEX(($L$5:$L$13=C23)*($T$5:$T$13="Yes"),0),0))</f>
        <v>Redmi Note 15 Pro+ 5G</v>
      </c>
      <c r="E23" s="12" t="str">
        <f aca="false">INDEX($C$5:$C$13,MATCH(D23,$B$5:$B$13,0))</f>
        <v>12GB + 512GB</v>
      </c>
      <c r="F23" s="26" t="n">
        <f aca="false">INDEX($G$5:$G$13,MATCH(D23,$B$5:$B$13,0))</f>
        <v>38990</v>
      </c>
    </row>
    <row r="24" customFormat="false" ht="23.85" hidden="false" customHeight="false" outlineLevel="0" collapsed="false">
      <c r="B24" s="12" t="s">
        <v>681</v>
      </c>
      <c r="C24" s="12" t="n">
        <f aca="false">_xlfn.MAXIFS($M$5:$M$13,$T$5:$T$13,"Yes")</f>
        <v>5</v>
      </c>
      <c r="D24" s="12" t="str">
        <f aca="false">INDEX($B$5:$B$13,MATCH(1,INDEX(($M$5:$M$13=C24)*($T$5:$T$13="Yes"),0),0))</f>
        <v>POCO X8 Pro 5G</v>
      </c>
      <c r="E24" s="12" t="str">
        <f aca="false">INDEX($C$5:$C$13,MATCH(D24,$B$5:$B$13,0))</f>
        <v>12GB + 256GB</v>
      </c>
      <c r="F24" s="26" t="n">
        <f aca="false">INDEX($G$5:$G$13,MATCH(D24,$B$5:$B$13,0))</f>
        <v>39999</v>
      </c>
    </row>
    <row r="25" customFormat="false" ht="23.85" hidden="false" customHeight="false" outlineLevel="0" collapsed="false">
      <c r="B25" s="12" t="s">
        <v>682</v>
      </c>
      <c r="C25" s="12" t="n">
        <f aca="false">_xlfn.MAXIFS($N$5:$N$13,$T$5:$T$13,"Yes")</f>
        <v>5</v>
      </c>
      <c r="D25" s="12" t="str">
        <f aca="false">INDEX($B$5:$B$13,MATCH(1,INDEX(($N$5:$N$13=C25)*($T$5:$T$13="Yes"),0),0))</f>
        <v>iQOO Neo 10R 5G</v>
      </c>
      <c r="E25" s="12" t="str">
        <f aca="false">INDEX($C$5:$C$13,MATCH(D25,$B$5:$B$13,0))</f>
        <v>12GB + 256GB</v>
      </c>
      <c r="F25" s="26" t="n">
        <f aca="false">INDEX($G$5:$G$13,MATCH(D25,$B$5:$B$13,0))</f>
        <v>27990</v>
      </c>
    </row>
    <row r="26" customFormat="false" ht="23.85" hidden="false" customHeight="false" outlineLevel="0" collapsed="false">
      <c r="B26" s="12" t="s">
        <v>683</v>
      </c>
      <c r="C26" s="12" t="n">
        <f aca="false">_xlfn.MAXIFS($O$5:$O$13,$T$5:$T$13,"Yes")</f>
        <v>10</v>
      </c>
      <c r="D26" s="12" t="str">
        <f aca="false">INDEX($B$5:$B$13,MATCH(1,INDEX(($O$5:$O$13=C26)*($T$5:$T$13="Yes"),0),0))</f>
        <v>iQOO Neo 10R 5G</v>
      </c>
      <c r="E26" s="12" t="str">
        <f aca="false">INDEX($C$5:$C$13,MATCH(D26,$B$5:$B$13,0))</f>
        <v>12GB + 256GB</v>
      </c>
      <c r="F26" s="26" t="n">
        <f aca="false">INDEX($G$5:$G$13,MATCH(D26,$B$5:$B$13,0))</f>
        <v>27990</v>
      </c>
    </row>
    <row r="28" customFormat="false" ht="15" hidden="false" customHeight="false" outlineLevel="0" collapsed="false">
      <c r="B28" s="3" t="s">
        <v>684</v>
      </c>
    </row>
    <row r="29" customFormat="false" ht="30" hidden="false" customHeight="true" outlineLevel="0" collapsed="false">
      <c r="B29" s="3" t="s">
        <v>615</v>
      </c>
      <c r="C29" s="16" t="s">
        <v>685</v>
      </c>
      <c r="D29" s="16"/>
      <c r="E29" s="16"/>
      <c r="F29" s="16"/>
      <c r="G29" s="16"/>
      <c r="H29" s="16"/>
      <c r="I29" s="16"/>
      <c r="J29" s="16"/>
      <c r="K29" s="16"/>
      <c r="L29" s="16"/>
      <c r="M29" s="16"/>
      <c r="N29" s="16"/>
      <c r="O29" s="16"/>
    </row>
    <row r="30" customFormat="false" ht="30" hidden="false" customHeight="true" outlineLevel="0" collapsed="false">
      <c r="B30" s="3" t="s">
        <v>616</v>
      </c>
      <c r="C30" s="16" t="s">
        <v>686</v>
      </c>
      <c r="D30" s="16"/>
      <c r="E30" s="16"/>
      <c r="F30" s="16"/>
      <c r="G30" s="16"/>
      <c r="H30" s="16"/>
      <c r="I30" s="16"/>
      <c r="J30" s="16"/>
      <c r="K30" s="16"/>
      <c r="L30" s="16"/>
      <c r="M30" s="16"/>
      <c r="N30" s="16"/>
      <c r="O30" s="16"/>
    </row>
    <row r="31" customFormat="false" ht="30" hidden="false" customHeight="true" outlineLevel="0" collapsed="false">
      <c r="B31" s="3" t="s">
        <v>617</v>
      </c>
      <c r="C31" s="16" t="s">
        <v>687</v>
      </c>
      <c r="D31" s="16"/>
      <c r="E31" s="16"/>
      <c r="F31" s="16"/>
      <c r="G31" s="16"/>
      <c r="H31" s="16"/>
      <c r="I31" s="16"/>
      <c r="J31" s="16"/>
      <c r="K31" s="16"/>
      <c r="L31" s="16"/>
      <c r="M31" s="16"/>
      <c r="N31" s="16"/>
      <c r="O31" s="16"/>
    </row>
    <row r="32" customFormat="false" ht="30" hidden="false" customHeight="true" outlineLevel="0" collapsed="false">
      <c r="B32" s="3" t="s">
        <v>618</v>
      </c>
      <c r="C32" s="16" t="s">
        <v>688</v>
      </c>
      <c r="D32" s="16"/>
      <c r="E32" s="16"/>
      <c r="F32" s="16"/>
      <c r="G32" s="16"/>
      <c r="H32" s="16"/>
      <c r="I32" s="16"/>
      <c r="J32" s="16"/>
      <c r="K32" s="16"/>
      <c r="L32" s="16"/>
      <c r="M32" s="16"/>
      <c r="N32" s="16"/>
      <c r="O32" s="16"/>
    </row>
    <row r="33" customFormat="false" ht="30" hidden="false" customHeight="true" outlineLevel="0" collapsed="false">
      <c r="B33" s="3" t="s">
        <v>619</v>
      </c>
      <c r="C33" s="16" t="s">
        <v>689</v>
      </c>
      <c r="D33" s="16"/>
      <c r="E33" s="16"/>
      <c r="F33" s="16"/>
      <c r="G33" s="16"/>
      <c r="H33" s="16"/>
      <c r="I33" s="16"/>
      <c r="J33" s="16"/>
      <c r="K33" s="16"/>
      <c r="L33" s="16"/>
      <c r="M33" s="16"/>
      <c r="N33" s="16"/>
      <c r="O33" s="16"/>
    </row>
    <row r="34" customFormat="false" ht="30" hidden="false" customHeight="true" outlineLevel="0" collapsed="false">
      <c r="B34" s="3" t="s">
        <v>620</v>
      </c>
      <c r="C34" s="16" t="s">
        <v>690</v>
      </c>
      <c r="D34" s="16"/>
      <c r="E34" s="16"/>
      <c r="F34" s="16"/>
      <c r="G34" s="16"/>
      <c r="H34" s="16"/>
      <c r="I34" s="16"/>
      <c r="J34" s="16"/>
      <c r="K34" s="16"/>
      <c r="L34" s="16"/>
      <c r="M34" s="16"/>
      <c r="N34" s="16"/>
      <c r="O34" s="16"/>
    </row>
    <row r="35" customFormat="false" ht="30" hidden="false" customHeight="true" outlineLevel="0" collapsed="false">
      <c r="B35" s="3" t="s">
        <v>621</v>
      </c>
      <c r="C35" s="16" t="s">
        <v>691</v>
      </c>
      <c r="D35" s="16"/>
      <c r="E35" s="16"/>
      <c r="F35" s="16"/>
      <c r="G35" s="16"/>
      <c r="H35" s="16"/>
      <c r="I35" s="16"/>
      <c r="J35" s="16"/>
      <c r="K35" s="16"/>
      <c r="L35" s="16"/>
      <c r="M35" s="16"/>
      <c r="N35" s="16"/>
      <c r="O35" s="16"/>
    </row>
    <row r="36" customFormat="false" ht="30" hidden="false" customHeight="true" outlineLevel="0" collapsed="false">
      <c r="B36" s="3" t="s">
        <v>622</v>
      </c>
      <c r="C36" s="16" t="s">
        <v>692</v>
      </c>
      <c r="D36" s="16"/>
      <c r="E36" s="16"/>
      <c r="F36" s="16"/>
      <c r="G36" s="16"/>
      <c r="H36" s="16"/>
      <c r="I36" s="16"/>
      <c r="J36" s="16"/>
      <c r="K36" s="16"/>
      <c r="L36" s="16"/>
      <c r="M36" s="16"/>
      <c r="N36" s="16"/>
      <c r="O36" s="16"/>
    </row>
    <row r="38" customFormat="false" ht="15" hidden="false" customHeight="false" outlineLevel="0" collapsed="false">
      <c r="B38" s="34" t="s">
        <v>693</v>
      </c>
    </row>
    <row r="40" customFormat="false" ht="15" hidden="false" customHeight="false" outlineLevel="0" collapsed="false">
      <c r="B40" s="3" t="s">
        <v>31</v>
      </c>
    </row>
    <row r="41" customFormat="false" ht="15" hidden="false" customHeight="false" outlineLevel="0" collapsed="false">
      <c r="B41" s="18" t="s">
        <v>32</v>
      </c>
    </row>
    <row r="42" customFormat="false" ht="15" hidden="false" customHeight="false" outlineLevel="0" collapsed="false">
      <c r="B42" s="19" t="s">
        <v>33</v>
      </c>
    </row>
    <row r="43" customFormat="false" ht="15" hidden="false" customHeight="false" outlineLevel="0" collapsed="false">
      <c r="B43" s="20" t="s">
        <v>34</v>
      </c>
    </row>
    <row r="44" customFormat="false" ht="15" hidden="false" customHeight="false" outlineLevel="0" collapsed="false">
      <c r="B44" s="21" t="s">
        <v>35</v>
      </c>
    </row>
    <row r="45" customFormat="false" ht="15" hidden="false" customHeight="false" outlineLevel="0" collapsed="false">
      <c r="B45" s="22" t="s">
        <v>36</v>
      </c>
    </row>
    <row r="46" customFormat="false" ht="15" hidden="false" customHeight="false" outlineLevel="0" collapsed="false">
      <c r="B46" s="23" t="s">
        <v>37</v>
      </c>
    </row>
  </sheetData>
  <mergeCells count="10">
    <mergeCell ref="A1:X1"/>
    <mergeCell ref="A2:X2"/>
    <mergeCell ref="C29:O29"/>
    <mergeCell ref="C30:O30"/>
    <mergeCell ref="C31:O31"/>
    <mergeCell ref="C32:O32"/>
    <mergeCell ref="C33:O33"/>
    <mergeCell ref="C34:O34"/>
    <mergeCell ref="C35:O35"/>
    <mergeCell ref="C36:O36"/>
  </mergeCells>
  <conditionalFormatting sqref="Q5:T13">
    <cfRule type="cellIs" priority="2" operator="equal" aboveAverage="0" equalAverage="0" bottom="0" percent="0" rank="0" text="" dxfId="9">
      <formula>"No"</formula>
    </cfRule>
    <cfRule type="cellIs" priority="3" operator="equal" aboveAverage="0" equalAverage="0" bottom="0" percent="0" rank="0" text="" dxfId="10">
      <formula>"Yes"</formula>
    </cfRule>
  </conditionalFormatting>
  <conditionalFormatting sqref="U5:U13">
    <cfRule type="cellIs" priority="4" operator="equal" aboveAverage="0" equalAverage="0" bottom="0" percent="0" rank="0" text="" dxfId="10">
      <formula>1</formula>
    </cfRule>
  </conditionalFormatting>
  <conditionalFormatting sqref="G5:G13">
    <cfRule type="cellIs" priority="5" operator="greaterThan" aboveAverage="0" equalAverage="0" bottom="0" percent="0" rank="0" text="" dxfId="9">
      <formula>40000</formula>
    </cfRule>
  </conditionalFormatting>
  <conditionalFormatting sqref="F5:F13">
    <cfRule type="cellIs" priority="6" operator="lessThan" aboveAverage="0" equalAverage="0" bottom="0" percent="0" rank="0" text="" dxfId="9">
      <formula>12</formula>
    </cfRule>
  </conditionalFormatting>
  <conditionalFormatting sqref="H5:H13">
    <cfRule type="expression" priority="7" aboveAverage="0" equalAverage="0" bottom="0" percent="0" rank="0" text="" dxfId="12">
      <formula>AND($T5="Yes",H5=_xlfn.MAXIFS(H$5:H$13,$T$5:$T$13,"Yes"))</formula>
    </cfRule>
  </conditionalFormatting>
  <conditionalFormatting sqref="I5:I13">
    <cfRule type="expression" priority="8" aboveAverage="0" equalAverage="0" bottom="0" percent="0" rank="0" text="" dxfId="12">
      <formula>AND($T5="Yes",I5=_xlfn.MAXIFS(I$5:I$13,$T$5:$T$13,"Yes"))</formula>
    </cfRule>
  </conditionalFormatting>
  <conditionalFormatting sqref="J5:J13">
    <cfRule type="expression" priority="9" aboveAverage="0" equalAverage="0" bottom="0" percent="0" rank="0" text="" dxfId="12">
      <formula>AND($T5="Yes",J5=_xlfn.MAXIFS(J$5:J$13,$T$5:$T$13,"Yes"))</formula>
    </cfRule>
  </conditionalFormatting>
  <conditionalFormatting sqref="K5:K13">
    <cfRule type="expression" priority="10" aboveAverage="0" equalAverage="0" bottom="0" percent="0" rank="0" text="" dxfId="12">
      <formula>AND($T5="Yes",K5=_xlfn.MAXIFS(K$5:K$13,$T$5:$T$13,"Yes"))</formula>
    </cfRule>
  </conditionalFormatting>
  <conditionalFormatting sqref="L5:L13">
    <cfRule type="expression" priority="11" aboveAverage="0" equalAverage="0" bottom="0" percent="0" rank="0" text="" dxfId="12">
      <formula>AND($T5="Yes",L5=_xlfn.MAXIFS(L$5:L$13,$T$5:$T$13,"Yes"))</formula>
    </cfRule>
  </conditionalFormatting>
  <conditionalFormatting sqref="M5:M13">
    <cfRule type="expression" priority="12" aboveAverage="0" equalAverage="0" bottom="0" percent="0" rank="0" text="" dxfId="12">
      <formula>AND($T5="Yes",M5=_xlfn.MAXIFS(M$5:M$13,$T$5:$T$13,"Yes"))</formula>
    </cfRule>
  </conditionalFormatting>
  <conditionalFormatting sqref="N5:N13">
    <cfRule type="expression" priority="13" aboveAverage="0" equalAverage="0" bottom="0" percent="0" rank="0" text="" dxfId="12">
      <formula>AND($T5="Yes",N5=_xlfn.MAXIFS(N$5:N$13,$T$5:$T$13,"Yes"))</formula>
    </cfRule>
  </conditionalFormatting>
  <conditionalFormatting sqref="O5:O13">
    <cfRule type="expression" priority="14" aboveAverage="0" equalAverage="0" bottom="0" percent="0" rank="0" text="" dxfId="12">
      <formula>AND($T5="Yes",O5=_xlfn.MAXIFS(O$5:O$13,$T$5:$T$13,"Yes"))</formula>
    </cfRule>
  </conditionalFormatting>
  <conditionalFormatting sqref="P5:P13">
    <cfRule type="expression" priority="15" aboveAverage="0" equalAverage="0" bottom="0" percent="0" rank="0" text="" dxfId="12">
      <formula>AND($T5="Yes",P5=_xlfn.MAXIFS(P$5:P$13,$T$5:$T$13,"Yes"))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I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34"/>
    <col collapsed="false" customWidth="true" hidden="false" outlineLevel="0" max="4" min="4" style="0" width="32"/>
    <col collapsed="false" customWidth="true" hidden="false" outlineLevel="0" max="5" min="5" style="0" width="30"/>
    <col collapsed="false" customWidth="true" hidden="false" outlineLevel="0" max="6" min="6" style="0" width="22"/>
    <col collapsed="false" customWidth="true" hidden="false" outlineLevel="0" max="7" min="7" style="0" width="18"/>
    <col collapsed="false" customWidth="true" hidden="false" outlineLevel="0" max="8" min="8" style="0" width="30"/>
    <col collapsed="false" customWidth="true" hidden="false" outlineLevel="0" max="9" min="9" style="0" width="9"/>
  </cols>
  <sheetData>
    <row r="1" customFormat="false" ht="30" hidden="false" customHeight="true" outlineLevel="0" collapsed="false">
      <c r="A1" s="1" t="s">
        <v>694</v>
      </c>
      <c r="B1" s="1"/>
      <c r="C1" s="1"/>
      <c r="D1" s="1"/>
      <c r="E1" s="1"/>
      <c r="F1" s="1"/>
      <c r="G1" s="1"/>
      <c r="H1" s="1"/>
      <c r="I1" s="1"/>
    </row>
    <row r="2" customFormat="false" ht="42" hidden="false" customHeight="true" outlineLevel="0" collapsed="false">
      <c r="A2" s="2" t="s">
        <v>695</v>
      </c>
      <c r="B2" s="2"/>
      <c r="C2" s="2"/>
      <c r="D2" s="2"/>
      <c r="E2" s="2"/>
      <c r="F2" s="2"/>
      <c r="G2" s="2"/>
      <c r="H2" s="2"/>
      <c r="I2" s="2"/>
    </row>
    <row r="4" customFormat="false" ht="31.5" hidden="false" customHeight="true" outlineLevel="0" collapsed="false">
      <c r="A4" s="5" t="s">
        <v>22</v>
      </c>
      <c r="B4" s="5" t="s">
        <v>696</v>
      </c>
      <c r="C4" s="5" t="s">
        <v>697</v>
      </c>
      <c r="D4" s="5" t="s">
        <v>698</v>
      </c>
      <c r="E4" s="5" t="s">
        <v>699</v>
      </c>
      <c r="F4" s="5" t="s">
        <v>700</v>
      </c>
      <c r="G4" s="5" t="s">
        <v>701</v>
      </c>
      <c r="H4" s="5" t="s">
        <v>702</v>
      </c>
      <c r="I4" s="5" t="s">
        <v>703</v>
      </c>
    </row>
    <row r="5" customFormat="false" ht="61.5" hidden="false" customHeight="true" outlineLevel="0" collapsed="false">
      <c r="A5" s="11" t="s">
        <v>416</v>
      </c>
      <c r="B5" s="12" t="s">
        <v>704</v>
      </c>
      <c r="C5" s="12" t="s">
        <v>705</v>
      </c>
      <c r="D5" s="12" t="s">
        <v>175</v>
      </c>
      <c r="E5" s="12" t="s">
        <v>175</v>
      </c>
      <c r="F5" s="12" t="s">
        <v>706</v>
      </c>
      <c r="G5" s="12" t="s">
        <v>707</v>
      </c>
      <c r="H5" s="12" t="s">
        <v>708</v>
      </c>
      <c r="I5" s="14" t="n">
        <f aca="false">Scorecard!P5</f>
        <v>70</v>
      </c>
    </row>
    <row r="6" customFormat="false" ht="61.5" hidden="false" customHeight="true" outlineLevel="0" collapsed="false">
      <c r="A6" s="11" t="s">
        <v>166</v>
      </c>
      <c r="B6" s="12" t="s">
        <v>709</v>
      </c>
      <c r="C6" s="12" t="s">
        <v>710</v>
      </c>
      <c r="D6" s="12" t="s">
        <v>711</v>
      </c>
      <c r="E6" s="12" t="s">
        <v>712</v>
      </c>
      <c r="F6" s="12" t="s">
        <v>713</v>
      </c>
      <c r="G6" s="12" t="s">
        <v>714</v>
      </c>
      <c r="H6" s="12" t="s">
        <v>715</v>
      </c>
      <c r="I6" s="14" t="n">
        <f aca="false">Scorecard!P6</f>
        <v>78</v>
      </c>
    </row>
    <row r="7" customFormat="false" ht="61.5" hidden="false" customHeight="true" outlineLevel="0" collapsed="false">
      <c r="A7" s="11" t="s">
        <v>180</v>
      </c>
      <c r="B7" s="12" t="s">
        <v>716</v>
      </c>
      <c r="C7" s="12" t="s">
        <v>717</v>
      </c>
      <c r="D7" s="12" t="s">
        <v>718</v>
      </c>
      <c r="E7" s="12" t="s">
        <v>719</v>
      </c>
      <c r="F7" s="12" t="s">
        <v>720</v>
      </c>
      <c r="G7" s="12" t="s">
        <v>721</v>
      </c>
      <c r="H7" s="12" t="s">
        <v>722</v>
      </c>
      <c r="I7" s="14" t="n">
        <f aca="false">Scorecard!P7</f>
        <v>77</v>
      </c>
    </row>
    <row r="8" customFormat="false" ht="61.5" hidden="false" customHeight="true" outlineLevel="0" collapsed="false">
      <c r="A8" s="11" t="s">
        <v>190</v>
      </c>
      <c r="B8" s="12" t="s">
        <v>723</v>
      </c>
      <c r="C8" s="12" t="s">
        <v>724</v>
      </c>
      <c r="D8" s="12" t="s">
        <v>725</v>
      </c>
      <c r="E8" s="12" t="s">
        <v>726</v>
      </c>
      <c r="F8" s="12" t="s">
        <v>727</v>
      </c>
      <c r="G8" s="12" t="s">
        <v>728</v>
      </c>
      <c r="H8" s="12" t="s">
        <v>729</v>
      </c>
      <c r="I8" s="14" t="n">
        <f aca="false">Scorecard!P8</f>
        <v>81</v>
      </c>
    </row>
    <row r="9" customFormat="false" ht="61.5" hidden="false" customHeight="true" outlineLevel="0" collapsed="false">
      <c r="A9" s="11" t="s">
        <v>203</v>
      </c>
      <c r="B9" s="12" t="s">
        <v>730</v>
      </c>
      <c r="C9" s="12" t="s">
        <v>731</v>
      </c>
      <c r="D9" s="12" t="s">
        <v>732</v>
      </c>
      <c r="E9" s="12" t="s">
        <v>733</v>
      </c>
      <c r="F9" s="12" t="s">
        <v>734</v>
      </c>
      <c r="G9" s="12" t="s">
        <v>735</v>
      </c>
      <c r="H9" s="12" t="s">
        <v>736</v>
      </c>
      <c r="I9" s="14" t="n">
        <f aca="false">Scorecard!P9</f>
        <v>74</v>
      </c>
    </row>
    <row r="10" customFormat="false" ht="61.5" hidden="false" customHeight="true" outlineLevel="0" collapsed="false">
      <c r="A10" s="11" t="s">
        <v>212</v>
      </c>
      <c r="B10" s="12" t="s">
        <v>737</v>
      </c>
      <c r="C10" s="12" t="s">
        <v>738</v>
      </c>
      <c r="D10" s="12" t="s">
        <v>739</v>
      </c>
      <c r="E10" s="12" t="s">
        <v>740</v>
      </c>
      <c r="F10" s="12" t="s">
        <v>741</v>
      </c>
      <c r="G10" s="12" t="s">
        <v>742</v>
      </c>
      <c r="H10" s="12" t="s">
        <v>743</v>
      </c>
      <c r="I10" s="14" t="n">
        <f aca="false">Scorecard!P10</f>
        <v>79</v>
      </c>
    </row>
    <row r="11" customFormat="false" ht="61.5" hidden="false" customHeight="true" outlineLevel="0" collapsed="false">
      <c r="A11" s="11" t="s">
        <v>218</v>
      </c>
      <c r="B11" s="12" t="s">
        <v>744</v>
      </c>
      <c r="C11" s="12" t="s">
        <v>745</v>
      </c>
      <c r="D11" s="12" t="s">
        <v>746</v>
      </c>
      <c r="E11" s="12" t="s">
        <v>747</v>
      </c>
      <c r="F11" s="12" t="s">
        <v>748</v>
      </c>
      <c r="G11" s="12" t="s">
        <v>749</v>
      </c>
      <c r="H11" s="12" t="s">
        <v>750</v>
      </c>
      <c r="I11" s="14" t="n">
        <f aca="false">Scorecard!P11</f>
        <v>73</v>
      </c>
    </row>
    <row r="12" customFormat="false" ht="61.5" hidden="false" customHeight="true" outlineLevel="0" collapsed="false">
      <c r="A12" s="11" t="s">
        <v>225</v>
      </c>
      <c r="B12" s="12" t="s">
        <v>751</v>
      </c>
      <c r="C12" s="12" t="s">
        <v>752</v>
      </c>
      <c r="D12" s="12" t="s">
        <v>753</v>
      </c>
      <c r="E12" s="12" t="s">
        <v>754</v>
      </c>
      <c r="F12" s="12" t="s">
        <v>755</v>
      </c>
      <c r="G12" s="12" t="s">
        <v>749</v>
      </c>
      <c r="H12" s="12" t="s">
        <v>756</v>
      </c>
      <c r="I12" s="14" t="n">
        <f aca="false">Scorecard!P12</f>
        <v>68</v>
      </c>
    </row>
    <row r="13" customFormat="false" ht="61.5" hidden="false" customHeight="true" outlineLevel="0" collapsed="false">
      <c r="A13" s="11" t="s">
        <v>243</v>
      </c>
      <c r="B13" s="12" t="s">
        <v>757</v>
      </c>
      <c r="C13" s="12" t="s">
        <v>758</v>
      </c>
      <c r="D13" s="12" t="s">
        <v>759</v>
      </c>
      <c r="E13" s="12" t="s">
        <v>86</v>
      </c>
      <c r="F13" s="12" t="s">
        <v>760</v>
      </c>
      <c r="G13" s="12" t="s">
        <v>761</v>
      </c>
      <c r="H13" s="12" t="s">
        <v>762</v>
      </c>
      <c r="I13" s="14" t="n">
        <f aca="false">Scorecard!P13</f>
        <v>84</v>
      </c>
    </row>
  </sheetData>
  <mergeCells count="2">
    <mergeCell ref="A1:I1"/>
    <mergeCell ref="A2:I2"/>
  </mergeCells>
  <conditionalFormatting sqref="H5:H13">
    <cfRule type="expression" priority="2" aboveAverage="0" equalAverage="0" bottom="0" percent="0" rank="0" text="" dxfId="12">
      <formula>ISNUMBER(SEARCH("BEST OVERALL",H5))</formula>
    </cfRule>
    <cfRule type="expression" priority="3" aboveAverage="0" equalAverage="0" bottom="0" percent="0" rank="0" text="" dxfId="9">
      <formula>ISNUMBER(SEARCH("EXCLUDED",H5))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I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34"/>
    <col collapsed="false" customWidth="true" hidden="false" outlineLevel="0" max="4" min="4" style="0" width="20"/>
    <col collapsed="false" customWidth="true" hidden="false" outlineLevel="0" max="5" min="5" style="0" width="60"/>
    <col collapsed="false" customWidth="true" hidden="false" outlineLevel="0" max="6" min="6" style="0" width="13"/>
    <col collapsed="false" customWidth="true" hidden="false" outlineLevel="0" max="7" min="7" style="0" width="22"/>
    <col collapsed="false" customWidth="true" hidden="false" outlineLevel="0" max="8" min="8" style="0" width="20"/>
    <col collapsed="false" customWidth="true" hidden="false" outlineLevel="0" max="9" min="9" style="0" width="34"/>
  </cols>
  <sheetData>
    <row r="1" customFormat="false" ht="30" hidden="false" customHeight="true" outlineLevel="0" collapsed="false">
      <c r="A1" s="1" t="s">
        <v>763</v>
      </c>
      <c r="B1" s="1"/>
      <c r="C1" s="1"/>
      <c r="D1" s="1"/>
      <c r="E1" s="1"/>
      <c r="F1" s="1"/>
      <c r="G1" s="1"/>
      <c r="H1" s="1"/>
      <c r="I1" s="1"/>
    </row>
    <row r="2" customFormat="false" ht="42" hidden="false" customHeight="true" outlineLevel="0" collapsed="false">
      <c r="A2" s="2" t="s">
        <v>764</v>
      </c>
      <c r="B2" s="2"/>
      <c r="C2" s="2"/>
      <c r="D2" s="2"/>
      <c r="E2" s="2"/>
      <c r="F2" s="2"/>
      <c r="G2" s="2"/>
      <c r="H2" s="2"/>
      <c r="I2" s="2"/>
    </row>
    <row r="4" customFormat="false" ht="31.5" hidden="false" customHeight="true" outlineLevel="0" collapsed="false">
      <c r="A4" s="5" t="s">
        <v>765</v>
      </c>
      <c r="B4" s="5" t="s">
        <v>766</v>
      </c>
      <c r="C4" s="5" t="s">
        <v>767</v>
      </c>
      <c r="D4" s="5" t="s">
        <v>768</v>
      </c>
      <c r="E4" s="5" t="s">
        <v>769</v>
      </c>
      <c r="F4" s="5" t="s">
        <v>508</v>
      </c>
      <c r="G4" s="5" t="s">
        <v>673</v>
      </c>
      <c r="H4" s="5" t="s">
        <v>770</v>
      </c>
      <c r="I4" s="5" t="s">
        <v>771</v>
      </c>
    </row>
    <row r="5" customFormat="false" ht="15" hidden="false" customHeight="false" outlineLevel="0" collapsed="false">
      <c r="A5" s="14" t="s">
        <v>772</v>
      </c>
      <c r="B5" s="12" t="s">
        <v>138</v>
      </c>
      <c r="C5" s="12" t="s">
        <v>773</v>
      </c>
      <c r="D5" s="12" t="s">
        <v>774</v>
      </c>
      <c r="E5" s="15" t="s">
        <v>47</v>
      </c>
      <c r="F5" s="14" t="s">
        <v>775</v>
      </c>
      <c r="G5" s="12" t="s">
        <v>776</v>
      </c>
      <c r="H5" s="24" t="s">
        <v>46</v>
      </c>
      <c r="I5" s="12" t="s">
        <v>777</v>
      </c>
    </row>
    <row r="6" customFormat="false" ht="15" hidden="false" customHeight="false" outlineLevel="0" collapsed="false">
      <c r="A6" s="14" t="s">
        <v>778</v>
      </c>
      <c r="B6" s="12" t="s">
        <v>138</v>
      </c>
      <c r="C6" s="12" t="s">
        <v>779</v>
      </c>
      <c r="D6" s="12" t="s">
        <v>780</v>
      </c>
      <c r="E6" s="15" t="s">
        <v>85</v>
      </c>
      <c r="F6" s="14" t="s">
        <v>775</v>
      </c>
      <c r="G6" s="12" t="s">
        <v>781</v>
      </c>
      <c r="H6" s="24" t="s">
        <v>46</v>
      </c>
      <c r="I6" s="12"/>
    </row>
    <row r="7" customFormat="false" ht="15" hidden="false" customHeight="false" outlineLevel="0" collapsed="false">
      <c r="A7" s="14" t="s">
        <v>782</v>
      </c>
      <c r="B7" s="12" t="s">
        <v>138</v>
      </c>
      <c r="C7" s="12" t="s">
        <v>783</v>
      </c>
      <c r="D7" s="12" t="s">
        <v>784</v>
      </c>
      <c r="E7" s="15" t="s">
        <v>50</v>
      </c>
      <c r="F7" s="14" t="s">
        <v>775</v>
      </c>
      <c r="G7" s="12" t="s">
        <v>781</v>
      </c>
      <c r="H7" s="24" t="s">
        <v>46</v>
      </c>
      <c r="I7" s="12"/>
    </row>
    <row r="8" customFormat="false" ht="15" hidden="false" customHeight="false" outlineLevel="0" collapsed="false">
      <c r="A8" s="14" t="s">
        <v>785</v>
      </c>
      <c r="B8" s="12" t="s">
        <v>138</v>
      </c>
      <c r="C8" s="12" t="s">
        <v>786</v>
      </c>
      <c r="D8" s="12" t="s">
        <v>787</v>
      </c>
      <c r="E8" s="15" t="s">
        <v>57</v>
      </c>
      <c r="F8" s="14" t="s">
        <v>775</v>
      </c>
      <c r="G8" s="12" t="s">
        <v>781</v>
      </c>
      <c r="H8" s="24" t="s">
        <v>46</v>
      </c>
      <c r="I8" s="12"/>
    </row>
    <row r="9" customFormat="false" ht="15" hidden="false" customHeight="false" outlineLevel="0" collapsed="false">
      <c r="A9" s="14" t="s">
        <v>788</v>
      </c>
      <c r="B9" s="12" t="s">
        <v>138</v>
      </c>
      <c r="C9" s="12" t="s">
        <v>789</v>
      </c>
      <c r="D9" s="12" t="s">
        <v>140</v>
      </c>
      <c r="E9" s="15" t="s">
        <v>61</v>
      </c>
      <c r="F9" s="14" t="s">
        <v>775</v>
      </c>
      <c r="G9" s="12" t="s">
        <v>126</v>
      </c>
      <c r="H9" s="25" t="s">
        <v>790</v>
      </c>
      <c r="I9" s="12" t="s">
        <v>791</v>
      </c>
    </row>
    <row r="10" customFormat="false" ht="15" hidden="false" customHeight="false" outlineLevel="0" collapsed="false">
      <c r="A10" s="14" t="s">
        <v>792</v>
      </c>
      <c r="B10" s="12" t="s">
        <v>138</v>
      </c>
      <c r="C10" s="12" t="s">
        <v>793</v>
      </c>
      <c r="D10" s="12" t="s">
        <v>154</v>
      </c>
      <c r="E10" s="15" t="s">
        <v>156</v>
      </c>
      <c r="F10" s="14" t="s">
        <v>775</v>
      </c>
      <c r="G10" s="12" t="s">
        <v>126</v>
      </c>
      <c r="H10" s="25" t="s">
        <v>790</v>
      </c>
      <c r="I10" s="12"/>
    </row>
    <row r="11" customFormat="false" ht="23.85" hidden="false" customHeight="false" outlineLevel="0" collapsed="false">
      <c r="A11" s="14" t="s">
        <v>794</v>
      </c>
      <c r="B11" s="12" t="s">
        <v>138</v>
      </c>
      <c r="C11" s="12" t="s">
        <v>795</v>
      </c>
      <c r="D11" s="12" t="s">
        <v>796</v>
      </c>
      <c r="E11" s="15" t="s">
        <v>79</v>
      </c>
      <c r="F11" s="14" t="s">
        <v>775</v>
      </c>
      <c r="G11" s="12" t="s">
        <v>797</v>
      </c>
      <c r="H11" s="24" t="s">
        <v>46</v>
      </c>
      <c r="I11" s="12" t="s">
        <v>798</v>
      </c>
    </row>
    <row r="12" customFormat="false" ht="15" hidden="false" customHeight="false" outlineLevel="0" collapsed="false">
      <c r="A12" s="14" t="s">
        <v>799</v>
      </c>
      <c r="B12" s="12" t="s">
        <v>138</v>
      </c>
      <c r="C12" s="12" t="s">
        <v>800</v>
      </c>
      <c r="D12" s="12" t="s">
        <v>796</v>
      </c>
      <c r="E12" s="15" t="s">
        <v>82</v>
      </c>
      <c r="F12" s="14" t="s">
        <v>775</v>
      </c>
      <c r="G12" s="12" t="s">
        <v>122</v>
      </c>
      <c r="H12" s="24" t="s">
        <v>46</v>
      </c>
      <c r="I12" s="12"/>
    </row>
    <row r="13" customFormat="false" ht="23.85" hidden="false" customHeight="false" outlineLevel="0" collapsed="false">
      <c r="A13" s="14" t="s">
        <v>801</v>
      </c>
      <c r="B13" s="12" t="s">
        <v>138</v>
      </c>
      <c r="C13" s="12" t="s">
        <v>802</v>
      </c>
      <c r="D13" s="12" t="s">
        <v>803</v>
      </c>
      <c r="E13" s="15" t="s">
        <v>99</v>
      </c>
      <c r="F13" s="14" t="s">
        <v>775</v>
      </c>
      <c r="G13" s="12" t="s">
        <v>781</v>
      </c>
      <c r="H13" s="25" t="s">
        <v>804</v>
      </c>
      <c r="I13" s="12" t="s">
        <v>805</v>
      </c>
    </row>
    <row r="14" customFormat="false" ht="15" hidden="false" customHeight="false" outlineLevel="0" collapsed="false">
      <c r="A14" s="14" t="s">
        <v>806</v>
      </c>
      <c r="B14" s="12" t="s">
        <v>138</v>
      </c>
      <c r="C14" s="12" t="s">
        <v>807</v>
      </c>
      <c r="D14" s="12" t="s">
        <v>808</v>
      </c>
      <c r="E14" s="15" t="s">
        <v>92</v>
      </c>
      <c r="F14" s="14" t="s">
        <v>775</v>
      </c>
      <c r="G14" s="12" t="s">
        <v>122</v>
      </c>
      <c r="H14" s="24" t="s">
        <v>46</v>
      </c>
      <c r="I14" s="12"/>
    </row>
    <row r="15" customFormat="false" ht="15" hidden="false" customHeight="false" outlineLevel="0" collapsed="false">
      <c r="A15" s="14" t="s">
        <v>809</v>
      </c>
      <c r="B15" s="12" t="s">
        <v>138</v>
      </c>
      <c r="C15" s="12" t="s">
        <v>810</v>
      </c>
      <c r="D15" s="12" t="s">
        <v>811</v>
      </c>
      <c r="E15" s="15" t="s">
        <v>113</v>
      </c>
      <c r="F15" s="14" t="s">
        <v>775</v>
      </c>
      <c r="G15" s="12" t="s">
        <v>812</v>
      </c>
      <c r="H15" s="25" t="s">
        <v>813</v>
      </c>
      <c r="I15" s="12"/>
    </row>
    <row r="16" customFormat="false" ht="15" hidden="false" customHeight="false" outlineLevel="0" collapsed="false">
      <c r="A16" s="14" t="s">
        <v>814</v>
      </c>
      <c r="B16" s="12" t="s">
        <v>138</v>
      </c>
      <c r="C16" s="12" t="s">
        <v>815</v>
      </c>
      <c r="D16" s="12" t="s">
        <v>780</v>
      </c>
      <c r="E16" s="15" t="s">
        <v>422</v>
      </c>
      <c r="F16" s="14" t="s">
        <v>775</v>
      </c>
      <c r="G16" s="12" t="s">
        <v>816</v>
      </c>
      <c r="H16" s="25" t="s">
        <v>817</v>
      </c>
      <c r="I16" s="12" t="s">
        <v>818</v>
      </c>
    </row>
    <row r="17" customFormat="false" ht="15" hidden="false" customHeight="false" outlineLevel="0" collapsed="false">
      <c r="A17" s="14" t="s">
        <v>819</v>
      </c>
      <c r="B17" s="12" t="s">
        <v>138</v>
      </c>
      <c r="C17" s="12" t="s">
        <v>820</v>
      </c>
      <c r="D17" s="12" t="s">
        <v>821</v>
      </c>
      <c r="E17" s="15" t="s">
        <v>65</v>
      </c>
      <c r="F17" s="14" t="s">
        <v>775</v>
      </c>
      <c r="G17" s="12" t="s">
        <v>521</v>
      </c>
      <c r="H17" s="25" t="s">
        <v>790</v>
      </c>
      <c r="I17" s="12"/>
    </row>
    <row r="18" customFormat="false" ht="15" hidden="false" customHeight="false" outlineLevel="0" collapsed="false">
      <c r="A18" s="14" t="s">
        <v>822</v>
      </c>
      <c r="B18" s="12" t="s">
        <v>138</v>
      </c>
      <c r="C18" s="12" t="s">
        <v>120</v>
      </c>
      <c r="D18" s="12" t="s">
        <v>823</v>
      </c>
      <c r="E18" s="15" t="s">
        <v>123</v>
      </c>
      <c r="F18" s="14" t="s">
        <v>775</v>
      </c>
      <c r="G18" s="12" t="s">
        <v>122</v>
      </c>
      <c r="H18" s="24" t="s">
        <v>46</v>
      </c>
      <c r="I18" s="12"/>
    </row>
    <row r="19" customFormat="false" ht="15" hidden="false" customHeight="false" outlineLevel="0" collapsed="false">
      <c r="A19" s="14" t="s">
        <v>824</v>
      </c>
      <c r="B19" s="12" t="s">
        <v>166</v>
      </c>
      <c r="C19" s="12" t="s">
        <v>825</v>
      </c>
      <c r="D19" s="12" t="s">
        <v>154</v>
      </c>
      <c r="E19" s="15" t="s">
        <v>172</v>
      </c>
      <c r="F19" s="14" t="s">
        <v>775</v>
      </c>
      <c r="G19" s="12" t="s">
        <v>126</v>
      </c>
      <c r="H19" s="25" t="s">
        <v>790</v>
      </c>
      <c r="I19" s="12" t="s">
        <v>826</v>
      </c>
    </row>
    <row r="20" customFormat="false" ht="15" hidden="false" customHeight="false" outlineLevel="0" collapsed="false">
      <c r="A20" s="14" t="s">
        <v>827</v>
      </c>
      <c r="B20" s="12" t="s">
        <v>166</v>
      </c>
      <c r="C20" s="12" t="s">
        <v>828</v>
      </c>
      <c r="D20" s="12" t="s">
        <v>829</v>
      </c>
      <c r="E20" s="15" t="s">
        <v>830</v>
      </c>
      <c r="F20" s="14" t="s">
        <v>775</v>
      </c>
      <c r="G20" s="12" t="s">
        <v>831</v>
      </c>
      <c r="H20" s="25" t="s">
        <v>832</v>
      </c>
      <c r="I20" s="12" t="s">
        <v>833</v>
      </c>
    </row>
    <row r="21" customFormat="false" ht="15" hidden="false" customHeight="false" outlineLevel="0" collapsed="false">
      <c r="A21" s="14" t="s">
        <v>834</v>
      </c>
      <c r="B21" s="12" t="s">
        <v>166</v>
      </c>
      <c r="C21" s="12" t="s">
        <v>835</v>
      </c>
      <c r="D21" s="12" t="s">
        <v>836</v>
      </c>
      <c r="E21" s="15" t="s">
        <v>433</v>
      </c>
      <c r="F21" s="14" t="s">
        <v>775</v>
      </c>
      <c r="G21" s="12" t="s">
        <v>122</v>
      </c>
      <c r="H21" s="24" t="s">
        <v>435</v>
      </c>
      <c r="I21" s="12"/>
    </row>
    <row r="22" customFormat="false" ht="15" hidden="false" customHeight="false" outlineLevel="0" collapsed="false">
      <c r="A22" s="14" t="s">
        <v>837</v>
      </c>
      <c r="B22" s="12" t="s">
        <v>166</v>
      </c>
      <c r="C22" s="12" t="s">
        <v>838</v>
      </c>
      <c r="D22" s="12" t="s">
        <v>780</v>
      </c>
      <c r="E22" s="15" t="s">
        <v>839</v>
      </c>
      <c r="F22" s="14" t="s">
        <v>775</v>
      </c>
      <c r="G22" s="12" t="s">
        <v>122</v>
      </c>
      <c r="H22" s="24" t="s">
        <v>435</v>
      </c>
      <c r="I22" s="12"/>
    </row>
    <row r="23" customFormat="false" ht="15" hidden="false" customHeight="false" outlineLevel="0" collapsed="false">
      <c r="A23" s="14" t="s">
        <v>840</v>
      </c>
      <c r="B23" s="12" t="s">
        <v>166</v>
      </c>
      <c r="C23" s="12" t="s">
        <v>841</v>
      </c>
      <c r="D23" s="12" t="s">
        <v>842</v>
      </c>
      <c r="E23" s="15" t="s">
        <v>843</v>
      </c>
      <c r="F23" s="14" t="s">
        <v>775</v>
      </c>
      <c r="G23" s="12" t="s">
        <v>776</v>
      </c>
      <c r="H23" s="24" t="s">
        <v>46</v>
      </c>
      <c r="I23" s="12"/>
    </row>
    <row r="24" customFormat="false" ht="15" hidden="false" customHeight="false" outlineLevel="0" collapsed="false">
      <c r="A24" s="14" t="s">
        <v>844</v>
      </c>
      <c r="B24" s="12" t="s">
        <v>166</v>
      </c>
      <c r="C24" s="12" t="s">
        <v>845</v>
      </c>
      <c r="D24" s="12" t="s">
        <v>821</v>
      </c>
      <c r="E24" s="15" t="s">
        <v>531</v>
      </c>
      <c r="F24" s="14" t="s">
        <v>775</v>
      </c>
      <c r="G24" s="12" t="s">
        <v>521</v>
      </c>
      <c r="H24" s="25" t="s">
        <v>790</v>
      </c>
      <c r="I24" s="12"/>
    </row>
    <row r="25" customFormat="false" ht="15" hidden="false" customHeight="false" outlineLevel="0" collapsed="false">
      <c r="A25" s="14" t="s">
        <v>846</v>
      </c>
      <c r="B25" s="12" t="s">
        <v>180</v>
      </c>
      <c r="C25" s="12" t="s">
        <v>847</v>
      </c>
      <c r="D25" s="12" t="s">
        <v>780</v>
      </c>
      <c r="E25" s="15" t="s">
        <v>183</v>
      </c>
      <c r="F25" s="14" t="s">
        <v>775</v>
      </c>
      <c r="G25" s="12" t="s">
        <v>521</v>
      </c>
      <c r="H25" s="25" t="s">
        <v>790</v>
      </c>
      <c r="I25" s="12"/>
    </row>
    <row r="26" customFormat="false" ht="15" hidden="false" customHeight="false" outlineLevel="0" collapsed="false">
      <c r="A26" s="14" t="s">
        <v>848</v>
      </c>
      <c r="B26" s="12" t="s">
        <v>180</v>
      </c>
      <c r="C26" s="12" t="s">
        <v>849</v>
      </c>
      <c r="D26" s="12" t="s">
        <v>829</v>
      </c>
      <c r="E26" s="15" t="s">
        <v>187</v>
      </c>
      <c r="F26" s="14" t="s">
        <v>775</v>
      </c>
      <c r="G26" s="12" t="s">
        <v>831</v>
      </c>
      <c r="H26" s="25" t="s">
        <v>832</v>
      </c>
      <c r="I26" s="12"/>
    </row>
    <row r="27" customFormat="false" ht="15" hidden="false" customHeight="false" outlineLevel="0" collapsed="false">
      <c r="A27" s="14" t="s">
        <v>850</v>
      </c>
      <c r="B27" s="12" t="s">
        <v>180</v>
      </c>
      <c r="C27" s="12" t="s">
        <v>851</v>
      </c>
      <c r="D27" s="12" t="s">
        <v>780</v>
      </c>
      <c r="E27" s="15" t="s">
        <v>444</v>
      </c>
      <c r="F27" s="14" t="s">
        <v>775</v>
      </c>
      <c r="G27" s="12" t="s">
        <v>122</v>
      </c>
      <c r="H27" s="24" t="s">
        <v>435</v>
      </c>
      <c r="I27" s="12"/>
    </row>
    <row r="28" customFormat="false" ht="15" hidden="false" customHeight="false" outlineLevel="0" collapsed="false">
      <c r="A28" s="14" t="s">
        <v>852</v>
      </c>
      <c r="B28" s="12" t="s">
        <v>180</v>
      </c>
      <c r="C28" s="12" t="s">
        <v>853</v>
      </c>
      <c r="D28" s="12" t="s">
        <v>836</v>
      </c>
      <c r="E28" s="15" t="s">
        <v>543</v>
      </c>
      <c r="F28" s="14" t="s">
        <v>775</v>
      </c>
      <c r="G28" s="12" t="s">
        <v>122</v>
      </c>
      <c r="H28" s="24" t="s">
        <v>46</v>
      </c>
      <c r="I28" s="12"/>
    </row>
    <row r="29" customFormat="false" ht="15" hidden="false" customHeight="false" outlineLevel="0" collapsed="false">
      <c r="A29" s="14" t="s">
        <v>854</v>
      </c>
      <c r="B29" s="12" t="s">
        <v>180</v>
      </c>
      <c r="C29" s="12" t="s">
        <v>855</v>
      </c>
      <c r="D29" s="12" t="s">
        <v>821</v>
      </c>
      <c r="E29" s="15" t="s">
        <v>541</v>
      </c>
      <c r="F29" s="14" t="s">
        <v>775</v>
      </c>
      <c r="G29" s="12" t="s">
        <v>521</v>
      </c>
      <c r="H29" s="25" t="s">
        <v>790</v>
      </c>
      <c r="I29" s="12"/>
    </row>
    <row r="30" customFormat="false" ht="15" hidden="false" customHeight="false" outlineLevel="0" collapsed="false">
      <c r="A30" s="14" t="s">
        <v>856</v>
      </c>
      <c r="B30" s="12" t="s">
        <v>190</v>
      </c>
      <c r="C30" s="12" t="s">
        <v>857</v>
      </c>
      <c r="D30" s="12" t="s">
        <v>162</v>
      </c>
      <c r="E30" s="15" t="s">
        <v>192</v>
      </c>
      <c r="F30" s="14" t="s">
        <v>775</v>
      </c>
      <c r="G30" s="12" t="s">
        <v>126</v>
      </c>
      <c r="H30" s="25" t="s">
        <v>790</v>
      </c>
      <c r="I30" s="12"/>
    </row>
    <row r="31" customFormat="false" ht="15" hidden="false" customHeight="false" outlineLevel="0" collapsed="false">
      <c r="A31" s="14" t="s">
        <v>858</v>
      </c>
      <c r="B31" s="12" t="s">
        <v>190</v>
      </c>
      <c r="C31" s="12" t="s">
        <v>859</v>
      </c>
      <c r="D31" s="12" t="s">
        <v>823</v>
      </c>
      <c r="E31" s="15" t="s">
        <v>201</v>
      </c>
      <c r="F31" s="14" t="s">
        <v>775</v>
      </c>
      <c r="G31" s="12" t="s">
        <v>521</v>
      </c>
      <c r="H31" s="25" t="s">
        <v>860</v>
      </c>
      <c r="I31" s="12"/>
    </row>
    <row r="32" customFormat="false" ht="15" hidden="false" customHeight="false" outlineLevel="0" collapsed="false">
      <c r="A32" s="14" t="s">
        <v>861</v>
      </c>
      <c r="B32" s="12" t="s">
        <v>190</v>
      </c>
      <c r="C32" s="12" t="s">
        <v>862</v>
      </c>
      <c r="D32" s="12" t="s">
        <v>863</v>
      </c>
      <c r="E32" s="15" t="s">
        <v>456</v>
      </c>
      <c r="F32" s="14" t="s">
        <v>775</v>
      </c>
      <c r="G32" s="12" t="s">
        <v>776</v>
      </c>
      <c r="H32" s="25" t="s">
        <v>864</v>
      </c>
      <c r="I32" s="12"/>
    </row>
    <row r="33" customFormat="false" ht="15" hidden="false" customHeight="false" outlineLevel="0" collapsed="false">
      <c r="A33" s="14" t="s">
        <v>865</v>
      </c>
      <c r="B33" s="12" t="s">
        <v>190</v>
      </c>
      <c r="C33" s="12" t="s">
        <v>866</v>
      </c>
      <c r="D33" s="12" t="s">
        <v>821</v>
      </c>
      <c r="E33" s="15" t="s">
        <v>457</v>
      </c>
      <c r="F33" s="14" t="s">
        <v>775</v>
      </c>
      <c r="G33" s="12" t="s">
        <v>867</v>
      </c>
      <c r="H33" s="24" t="s">
        <v>435</v>
      </c>
      <c r="I33" s="12"/>
    </row>
    <row r="34" customFormat="false" ht="23.85" hidden="false" customHeight="false" outlineLevel="0" collapsed="false">
      <c r="A34" s="14" t="s">
        <v>868</v>
      </c>
      <c r="B34" s="12" t="s">
        <v>190</v>
      </c>
      <c r="C34" s="12" t="s">
        <v>869</v>
      </c>
      <c r="D34" s="12" t="s">
        <v>870</v>
      </c>
      <c r="E34" s="15" t="s">
        <v>871</v>
      </c>
      <c r="F34" s="14" t="s">
        <v>775</v>
      </c>
      <c r="G34" s="12" t="s">
        <v>776</v>
      </c>
      <c r="H34" s="24" t="s">
        <v>46</v>
      </c>
      <c r="I34" s="12" t="s">
        <v>872</v>
      </c>
    </row>
    <row r="35" customFormat="false" ht="15" hidden="false" customHeight="false" outlineLevel="0" collapsed="false">
      <c r="A35" s="14" t="s">
        <v>873</v>
      </c>
      <c r="B35" s="12" t="s">
        <v>203</v>
      </c>
      <c r="C35" s="12" t="s">
        <v>874</v>
      </c>
      <c r="D35" s="12" t="s">
        <v>875</v>
      </c>
      <c r="E35" s="15" t="s">
        <v>207</v>
      </c>
      <c r="F35" s="14" t="s">
        <v>775</v>
      </c>
      <c r="G35" s="12" t="s">
        <v>521</v>
      </c>
      <c r="H35" s="25" t="s">
        <v>790</v>
      </c>
      <c r="I35" s="12" t="s">
        <v>876</v>
      </c>
    </row>
    <row r="36" customFormat="false" ht="15" hidden="false" customHeight="false" outlineLevel="0" collapsed="false">
      <c r="A36" s="14" t="s">
        <v>877</v>
      </c>
      <c r="B36" s="12" t="s">
        <v>203</v>
      </c>
      <c r="C36" s="12" t="s">
        <v>878</v>
      </c>
      <c r="D36" s="12" t="s">
        <v>823</v>
      </c>
      <c r="E36" s="15" t="s">
        <v>562</v>
      </c>
      <c r="F36" s="14" t="s">
        <v>775</v>
      </c>
      <c r="G36" s="12" t="s">
        <v>521</v>
      </c>
      <c r="H36" s="25" t="s">
        <v>790</v>
      </c>
      <c r="I36" s="12"/>
    </row>
    <row r="37" customFormat="false" ht="15" hidden="false" customHeight="false" outlineLevel="0" collapsed="false">
      <c r="A37" s="14" t="s">
        <v>879</v>
      </c>
      <c r="B37" s="12" t="s">
        <v>203</v>
      </c>
      <c r="C37" s="12" t="s">
        <v>880</v>
      </c>
      <c r="D37" s="12" t="s">
        <v>780</v>
      </c>
      <c r="E37" s="15" t="s">
        <v>463</v>
      </c>
      <c r="F37" s="14" t="s">
        <v>775</v>
      </c>
      <c r="G37" s="12" t="s">
        <v>122</v>
      </c>
      <c r="H37" s="24" t="s">
        <v>435</v>
      </c>
      <c r="I37" s="12"/>
    </row>
    <row r="38" customFormat="false" ht="15" hidden="false" customHeight="false" outlineLevel="0" collapsed="false">
      <c r="A38" s="14" t="s">
        <v>881</v>
      </c>
      <c r="B38" s="12" t="s">
        <v>203</v>
      </c>
      <c r="C38" s="12" t="s">
        <v>882</v>
      </c>
      <c r="D38" s="12" t="s">
        <v>821</v>
      </c>
      <c r="E38" s="15" t="s">
        <v>464</v>
      </c>
      <c r="F38" s="14" t="s">
        <v>775</v>
      </c>
      <c r="G38" s="12" t="s">
        <v>812</v>
      </c>
      <c r="H38" s="24" t="s">
        <v>435</v>
      </c>
      <c r="I38" s="12"/>
    </row>
    <row r="39" customFormat="false" ht="15" hidden="false" customHeight="false" outlineLevel="0" collapsed="false">
      <c r="A39" s="14" t="s">
        <v>883</v>
      </c>
      <c r="B39" s="12" t="s">
        <v>212</v>
      </c>
      <c r="C39" s="12" t="s">
        <v>884</v>
      </c>
      <c r="D39" s="12" t="s">
        <v>808</v>
      </c>
      <c r="E39" s="15" t="s">
        <v>885</v>
      </c>
      <c r="F39" s="14" t="s">
        <v>775</v>
      </c>
      <c r="G39" s="12" t="s">
        <v>781</v>
      </c>
      <c r="H39" s="24" t="s">
        <v>46</v>
      </c>
      <c r="I39" s="12"/>
    </row>
    <row r="40" customFormat="false" ht="15" hidden="false" customHeight="false" outlineLevel="0" collapsed="false">
      <c r="A40" s="14" t="s">
        <v>886</v>
      </c>
      <c r="B40" s="12" t="s">
        <v>212</v>
      </c>
      <c r="C40" s="12" t="s">
        <v>887</v>
      </c>
      <c r="D40" s="12" t="s">
        <v>823</v>
      </c>
      <c r="E40" s="15" t="s">
        <v>214</v>
      </c>
      <c r="F40" s="14" t="s">
        <v>775</v>
      </c>
      <c r="G40" s="12" t="s">
        <v>521</v>
      </c>
      <c r="H40" s="25" t="s">
        <v>888</v>
      </c>
      <c r="I40" s="12" t="s">
        <v>889</v>
      </c>
    </row>
    <row r="41" customFormat="false" ht="15" hidden="false" customHeight="false" outlineLevel="0" collapsed="false">
      <c r="A41" s="14" t="s">
        <v>890</v>
      </c>
      <c r="B41" s="12" t="s">
        <v>212</v>
      </c>
      <c r="C41" s="12" t="s">
        <v>891</v>
      </c>
      <c r="D41" s="12" t="s">
        <v>780</v>
      </c>
      <c r="E41" s="15" t="s">
        <v>216</v>
      </c>
      <c r="F41" s="14" t="s">
        <v>775</v>
      </c>
      <c r="G41" s="12" t="s">
        <v>521</v>
      </c>
      <c r="H41" s="25" t="s">
        <v>888</v>
      </c>
      <c r="I41" s="12"/>
    </row>
    <row r="42" customFormat="false" ht="15" hidden="false" customHeight="false" outlineLevel="0" collapsed="false">
      <c r="A42" s="14" t="s">
        <v>892</v>
      </c>
      <c r="B42" s="12" t="s">
        <v>212</v>
      </c>
      <c r="C42" s="12" t="s">
        <v>893</v>
      </c>
      <c r="D42" s="12" t="s">
        <v>796</v>
      </c>
      <c r="E42" s="15" t="s">
        <v>894</v>
      </c>
      <c r="F42" s="14" t="s">
        <v>775</v>
      </c>
      <c r="G42" s="12" t="s">
        <v>122</v>
      </c>
      <c r="H42" s="24" t="s">
        <v>435</v>
      </c>
      <c r="I42" s="12" t="s">
        <v>895</v>
      </c>
    </row>
    <row r="43" customFormat="false" ht="15" hidden="false" customHeight="false" outlineLevel="0" collapsed="false">
      <c r="A43" s="14" t="s">
        <v>896</v>
      </c>
      <c r="B43" s="12" t="s">
        <v>212</v>
      </c>
      <c r="C43" s="12" t="s">
        <v>110</v>
      </c>
      <c r="D43" s="12" t="s">
        <v>897</v>
      </c>
      <c r="E43" s="15" t="s">
        <v>472</v>
      </c>
      <c r="F43" s="14" t="s">
        <v>775</v>
      </c>
      <c r="G43" s="12" t="s">
        <v>812</v>
      </c>
      <c r="H43" s="25" t="s">
        <v>813</v>
      </c>
      <c r="I43" s="12"/>
    </row>
    <row r="44" customFormat="false" ht="15" hidden="false" customHeight="false" outlineLevel="0" collapsed="false">
      <c r="A44" s="14" t="s">
        <v>898</v>
      </c>
      <c r="B44" s="12" t="s">
        <v>212</v>
      </c>
      <c r="C44" s="12" t="s">
        <v>899</v>
      </c>
      <c r="D44" s="12" t="s">
        <v>154</v>
      </c>
      <c r="E44" s="15" t="s">
        <v>572</v>
      </c>
      <c r="F44" s="14" t="s">
        <v>775</v>
      </c>
      <c r="G44" s="12" t="s">
        <v>126</v>
      </c>
      <c r="H44" s="25" t="s">
        <v>790</v>
      </c>
      <c r="I44" s="12" t="s">
        <v>900</v>
      </c>
    </row>
    <row r="45" customFormat="false" ht="15" hidden="false" customHeight="false" outlineLevel="0" collapsed="false">
      <c r="A45" s="14" t="s">
        <v>901</v>
      </c>
      <c r="B45" s="12" t="s">
        <v>218</v>
      </c>
      <c r="C45" s="12" t="s">
        <v>902</v>
      </c>
      <c r="D45" s="12" t="s">
        <v>154</v>
      </c>
      <c r="E45" s="15" t="s">
        <v>220</v>
      </c>
      <c r="F45" s="14" t="s">
        <v>775</v>
      </c>
      <c r="G45" s="12" t="s">
        <v>126</v>
      </c>
      <c r="H45" s="25" t="s">
        <v>790</v>
      </c>
      <c r="I45" s="12"/>
    </row>
    <row r="46" customFormat="false" ht="15" hidden="false" customHeight="false" outlineLevel="0" collapsed="false">
      <c r="A46" s="14" t="s">
        <v>903</v>
      </c>
      <c r="B46" s="12" t="s">
        <v>218</v>
      </c>
      <c r="C46" s="12" t="s">
        <v>904</v>
      </c>
      <c r="D46" s="12" t="s">
        <v>905</v>
      </c>
      <c r="E46" s="15" t="s">
        <v>906</v>
      </c>
      <c r="F46" s="14" t="s">
        <v>775</v>
      </c>
      <c r="G46" s="12" t="s">
        <v>781</v>
      </c>
      <c r="H46" s="24" t="s">
        <v>46</v>
      </c>
      <c r="I46" s="12"/>
    </row>
    <row r="47" customFormat="false" ht="15" hidden="false" customHeight="false" outlineLevel="0" collapsed="false">
      <c r="A47" s="14" t="s">
        <v>907</v>
      </c>
      <c r="B47" s="12" t="s">
        <v>218</v>
      </c>
      <c r="C47" s="12" t="s">
        <v>908</v>
      </c>
      <c r="D47" s="12" t="s">
        <v>780</v>
      </c>
      <c r="E47" s="15" t="s">
        <v>583</v>
      </c>
      <c r="F47" s="14" t="s">
        <v>775</v>
      </c>
      <c r="G47" s="12" t="s">
        <v>122</v>
      </c>
      <c r="H47" s="24" t="s">
        <v>435</v>
      </c>
      <c r="I47" s="12"/>
    </row>
    <row r="48" customFormat="false" ht="15" hidden="false" customHeight="false" outlineLevel="0" collapsed="false">
      <c r="A48" s="14" t="s">
        <v>909</v>
      </c>
      <c r="B48" s="12" t="s">
        <v>218</v>
      </c>
      <c r="C48" s="12" t="s">
        <v>910</v>
      </c>
      <c r="D48" s="12" t="s">
        <v>821</v>
      </c>
      <c r="E48" s="15" t="s">
        <v>479</v>
      </c>
      <c r="F48" s="14" t="s">
        <v>775</v>
      </c>
      <c r="G48" s="12" t="s">
        <v>867</v>
      </c>
      <c r="H48" s="24" t="s">
        <v>435</v>
      </c>
      <c r="I48" s="12"/>
    </row>
    <row r="49" customFormat="false" ht="15" hidden="false" customHeight="false" outlineLevel="0" collapsed="false">
      <c r="A49" s="14" t="s">
        <v>911</v>
      </c>
      <c r="B49" s="12" t="s">
        <v>218</v>
      </c>
      <c r="C49" s="12" t="s">
        <v>912</v>
      </c>
      <c r="D49" s="12" t="s">
        <v>823</v>
      </c>
      <c r="E49" s="15" t="s">
        <v>913</v>
      </c>
      <c r="F49" s="14" t="s">
        <v>775</v>
      </c>
      <c r="G49" s="12" t="s">
        <v>122</v>
      </c>
      <c r="H49" s="24" t="s">
        <v>46</v>
      </c>
      <c r="I49" s="12"/>
    </row>
    <row r="50" customFormat="false" ht="15" hidden="false" customHeight="false" outlineLevel="0" collapsed="false">
      <c r="A50" s="14" t="s">
        <v>914</v>
      </c>
      <c r="B50" s="12" t="s">
        <v>225</v>
      </c>
      <c r="C50" s="12" t="s">
        <v>915</v>
      </c>
      <c r="D50" s="12" t="s">
        <v>780</v>
      </c>
      <c r="E50" s="15" t="s">
        <v>228</v>
      </c>
      <c r="F50" s="14" t="s">
        <v>775</v>
      </c>
      <c r="G50" s="12" t="s">
        <v>521</v>
      </c>
      <c r="H50" s="25" t="s">
        <v>888</v>
      </c>
      <c r="I50" s="12"/>
    </row>
    <row r="51" customFormat="false" ht="15" hidden="false" customHeight="false" outlineLevel="0" collapsed="false">
      <c r="A51" s="14" t="s">
        <v>916</v>
      </c>
      <c r="B51" s="12" t="s">
        <v>225</v>
      </c>
      <c r="C51" s="12" t="s">
        <v>917</v>
      </c>
      <c r="D51" s="12" t="s">
        <v>836</v>
      </c>
      <c r="E51" s="15" t="s">
        <v>486</v>
      </c>
      <c r="F51" s="14" t="s">
        <v>775</v>
      </c>
      <c r="G51" s="12" t="s">
        <v>122</v>
      </c>
      <c r="H51" s="24" t="s">
        <v>435</v>
      </c>
      <c r="I51" s="12"/>
    </row>
    <row r="52" customFormat="false" ht="15" hidden="false" customHeight="false" outlineLevel="0" collapsed="false">
      <c r="A52" s="14" t="s">
        <v>918</v>
      </c>
      <c r="B52" s="12" t="s">
        <v>225</v>
      </c>
      <c r="C52" s="12" t="s">
        <v>919</v>
      </c>
      <c r="D52" s="12" t="s">
        <v>808</v>
      </c>
      <c r="E52" s="15" t="s">
        <v>591</v>
      </c>
      <c r="F52" s="14" t="s">
        <v>775</v>
      </c>
      <c r="G52" s="12" t="s">
        <v>122</v>
      </c>
      <c r="H52" s="24" t="s">
        <v>46</v>
      </c>
      <c r="I52" s="12"/>
    </row>
    <row r="53" customFormat="false" ht="15" hidden="false" customHeight="false" outlineLevel="0" collapsed="false">
      <c r="A53" s="14" t="s">
        <v>920</v>
      </c>
      <c r="B53" s="12" t="s">
        <v>225</v>
      </c>
      <c r="C53" s="12" t="s">
        <v>921</v>
      </c>
      <c r="D53" s="12" t="s">
        <v>922</v>
      </c>
      <c r="E53" s="15" t="s">
        <v>923</v>
      </c>
      <c r="F53" s="14" t="s">
        <v>775</v>
      </c>
      <c r="G53" s="12" t="s">
        <v>776</v>
      </c>
      <c r="H53" s="24" t="s">
        <v>46</v>
      </c>
      <c r="I53" s="12" t="s">
        <v>924</v>
      </c>
    </row>
    <row r="54" customFormat="false" ht="15" hidden="false" customHeight="false" outlineLevel="0" collapsed="false">
      <c r="A54" s="14" t="s">
        <v>925</v>
      </c>
      <c r="B54" s="12" t="s">
        <v>926</v>
      </c>
      <c r="C54" s="12" t="s">
        <v>927</v>
      </c>
      <c r="D54" s="12" t="s">
        <v>780</v>
      </c>
      <c r="E54" s="15" t="s">
        <v>232</v>
      </c>
      <c r="F54" s="14" t="s">
        <v>775</v>
      </c>
      <c r="G54" s="12" t="s">
        <v>521</v>
      </c>
      <c r="H54" s="25" t="s">
        <v>790</v>
      </c>
      <c r="I54" s="12" t="s">
        <v>928</v>
      </c>
    </row>
    <row r="55" customFormat="false" ht="15" hidden="false" customHeight="false" outlineLevel="0" collapsed="false">
      <c r="A55" s="14" t="s">
        <v>929</v>
      </c>
      <c r="B55" s="12" t="s">
        <v>926</v>
      </c>
      <c r="C55" s="12" t="s">
        <v>853</v>
      </c>
      <c r="D55" s="12" t="s">
        <v>836</v>
      </c>
      <c r="E55" s="15" t="s">
        <v>494</v>
      </c>
      <c r="F55" s="14" t="s">
        <v>775</v>
      </c>
      <c r="G55" s="12" t="s">
        <v>122</v>
      </c>
      <c r="H55" s="24" t="s">
        <v>435</v>
      </c>
      <c r="I55" s="12"/>
    </row>
    <row r="56" customFormat="false" ht="15" hidden="false" customHeight="false" outlineLevel="0" collapsed="false">
      <c r="A56" s="14" t="s">
        <v>930</v>
      </c>
      <c r="B56" s="12" t="s">
        <v>926</v>
      </c>
      <c r="C56" s="12" t="s">
        <v>931</v>
      </c>
      <c r="D56" s="12" t="s">
        <v>932</v>
      </c>
      <c r="E56" s="15" t="s">
        <v>933</v>
      </c>
      <c r="F56" s="14" t="s">
        <v>775</v>
      </c>
      <c r="G56" s="12" t="s">
        <v>934</v>
      </c>
      <c r="H56" s="24" t="s">
        <v>46</v>
      </c>
      <c r="I56" s="12" t="s">
        <v>935</v>
      </c>
    </row>
    <row r="57" customFormat="false" ht="15" hidden="false" customHeight="false" outlineLevel="0" collapsed="false">
      <c r="A57" s="14" t="s">
        <v>936</v>
      </c>
      <c r="B57" s="12" t="s">
        <v>937</v>
      </c>
      <c r="C57" s="12" t="s">
        <v>938</v>
      </c>
      <c r="D57" s="12" t="s">
        <v>823</v>
      </c>
      <c r="E57" s="15" t="s">
        <v>939</v>
      </c>
      <c r="F57" s="14" t="s">
        <v>775</v>
      </c>
      <c r="G57" s="12" t="s">
        <v>521</v>
      </c>
      <c r="H57" s="25" t="s">
        <v>790</v>
      </c>
      <c r="I57" s="12" t="s">
        <v>928</v>
      </c>
    </row>
    <row r="58" customFormat="false" ht="15" hidden="false" customHeight="false" outlineLevel="0" collapsed="false">
      <c r="A58" s="14" t="s">
        <v>940</v>
      </c>
      <c r="B58" s="12" t="s">
        <v>937</v>
      </c>
      <c r="C58" s="12" t="s">
        <v>941</v>
      </c>
      <c r="D58" s="12" t="s">
        <v>823</v>
      </c>
      <c r="E58" s="15" t="s">
        <v>942</v>
      </c>
      <c r="F58" s="14" t="s">
        <v>775</v>
      </c>
      <c r="G58" s="12" t="s">
        <v>521</v>
      </c>
      <c r="H58" s="25" t="s">
        <v>790</v>
      </c>
      <c r="I58" s="12" t="s">
        <v>928</v>
      </c>
    </row>
    <row r="59" customFormat="false" ht="15" hidden="false" customHeight="false" outlineLevel="0" collapsed="false">
      <c r="A59" s="14" t="s">
        <v>943</v>
      </c>
      <c r="B59" s="12" t="s">
        <v>937</v>
      </c>
      <c r="C59" s="12" t="s">
        <v>944</v>
      </c>
      <c r="D59" s="12" t="s">
        <v>154</v>
      </c>
      <c r="E59" s="15" t="s">
        <v>945</v>
      </c>
      <c r="F59" s="14" t="s">
        <v>775</v>
      </c>
      <c r="G59" s="12" t="s">
        <v>126</v>
      </c>
      <c r="H59" s="25" t="s">
        <v>790</v>
      </c>
      <c r="I59" s="12" t="s">
        <v>928</v>
      </c>
    </row>
    <row r="60" customFormat="false" ht="15" hidden="false" customHeight="false" outlineLevel="0" collapsed="false">
      <c r="A60" s="14" t="s">
        <v>946</v>
      </c>
      <c r="B60" s="12" t="s">
        <v>937</v>
      </c>
      <c r="C60" s="12" t="s">
        <v>947</v>
      </c>
      <c r="D60" s="12" t="s">
        <v>780</v>
      </c>
      <c r="E60" s="15" t="s">
        <v>948</v>
      </c>
      <c r="F60" s="14" t="s">
        <v>775</v>
      </c>
      <c r="G60" s="12" t="s">
        <v>521</v>
      </c>
      <c r="H60" s="25" t="s">
        <v>790</v>
      </c>
      <c r="I60" s="12" t="s">
        <v>928</v>
      </c>
    </row>
    <row r="61" customFormat="false" ht="15" hidden="false" customHeight="false" outlineLevel="0" collapsed="false">
      <c r="A61" s="14" t="s">
        <v>949</v>
      </c>
      <c r="B61" s="12" t="s">
        <v>937</v>
      </c>
      <c r="C61" s="12" t="s">
        <v>950</v>
      </c>
      <c r="D61" s="12" t="s">
        <v>823</v>
      </c>
      <c r="E61" s="15" t="s">
        <v>951</v>
      </c>
      <c r="F61" s="14" t="s">
        <v>775</v>
      </c>
      <c r="G61" s="12" t="s">
        <v>521</v>
      </c>
      <c r="H61" s="25" t="s">
        <v>790</v>
      </c>
      <c r="I61" s="12" t="s">
        <v>952</v>
      </c>
    </row>
    <row r="62" customFormat="false" ht="15" hidden="false" customHeight="false" outlineLevel="0" collapsed="false">
      <c r="A62" s="14" t="s">
        <v>953</v>
      </c>
      <c r="B62" s="12" t="s">
        <v>937</v>
      </c>
      <c r="C62" s="12" t="s">
        <v>954</v>
      </c>
      <c r="D62" s="12" t="s">
        <v>863</v>
      </c>
      <c r="E62" s="15" t="s">
        <v>955</v>
      </c>
      <c r="F62" s="14" t="s">
        <v>775</v>
      </c>
      <c r="G62" s="12" t="s">
        <v>776</v>
      </c>
      <c r="H62" s="24" t="s">
        <v>46</v>
      </c>
      <c r="I62" s="12" t="s">
        <v>956</v>
      </c>
    </row>
    <row r="63" customFormat="false" ht="15" hidden="false" customHeight="false" outlineLevel="0" collapsed="false">
      <c r="A63" s="14" t="s">
        <v>957</v>
      </c>
      <c r="B63" s="12" t="s">
        <v>937</v>
      </c>
      <c r="C63" s="12" t="s">
        <v>958</v>
      </c>
      <c r="D63" s="12" t="s">
        <v>959</v>
      </c>
      <c r="E63" s="15" t="s">
        <v>960</v>
      </c>
      <c r="F63" s="14" t="s">
        <v>775</v>
      </c>
      <c r="G63" s="12" t="s">
        <v>521</v>
      </c>
      <c r="H63" s="30" t="s">
        <v>961</v>
      </c>
      <c r="I63" s="12"/>
    </row>
    <row r="64" customFormat="false" ht="15" hidden="false" customHeight="false" outlineLevel="0" collapsed="false">
      <c r="A64" s="14" t="s">
        <v>962</v>
      </c>
      <c r="B64" s="12" t="s">
        <v>963</v>
      </c>
      <c r="C64" s="12" t="s">
        <v>964</v>
      </c>
      <c r="D64" s="12" t="s">
        <v>808</v>
      </c>
      <c r="E64" s="15" t="s">
        <v>965</v>
      </c>
      <c r="F64" s="14" t="s">
        <v>775</v>
      </c>
      <c r="G64" s="12" t="s">
        <v>781</v>
      </c>
      <c r="H64" s="25" t="s">
        <v>966</v>
      </c>
      <c r="I64" s="12"/>
    </row>
    <row r="65" customFormat="false" ht="23.85" hidden="false" customHeight="false" outlineLevel="0" collapsed="false">
      <c r="A65" s="14" t="s">
        <v>967</v>
      </c>
      <c r="B65" s="12" t="s">
        <v>968</v>
      </c>
      <c r="C65" s="12" t="s">
        <v>969</v>
      </c>
      <c r="D65" s="12" t="s">
        <v>932</v>
      </c>
      <c r="E65" s="15" t="s">
        <v>970</v>
      </c>
      <c r="F65" s="14" t="s">
        <v>775</v>
      </c>
      <c r="G65" s="12" t="s">
        <v>971</v>
      </c>
      <c r="H65" s="24" t="s">
        <v>972</v>
      </c>
      <c r="I65" s="12"/>
    </row>
    <row r="67" customFormat="false" ht="15" hidden="false" customHeight="false" outlineLevel="0" collapsed="false">
      <c r="A67" s="3" t="s">
        <v>31</v>
      </c>
    </row>
    <row r="68" customFormat="false" ht="15" hidden="false" customHeight="false" outlineLevel="0" collapsed="false">
      <c r="A68" s="18" t="s">
        <v>32</v>
      </c>
    </row>
    <row r="69" customFormat="false" ht="15" hidden="false" customHeight="false" outlineLevel="0" collapsed="false">
      <c r="A69" s="19" t="s">
        <v>33</v>
      </c>
    </row>
    <row r="70" customFormat="false" ht="15" hidden="false" customHeight="false" outlineLevel="0" collapsed="false">
      <c r="A70" s="20" t="s">
        <v>34</v>
      </c>
    </row>
    <row r="71" customFormat="false" ht="15" hidden="false" customHeight="false" outlineLevel="0" collapsed="false">
      <c r="A71" s="21" t="s">
        <v>35</v>
      </c>
    </row>
    <row r="72" customFormat="false" ht="15" hidden="false" customHeight="false" outlineLevel="0" collapsed="false">
      <c r="A72" s="22" t="s">
        <v>36</v>
      </c>
    </row>
    <row r="73" customFormat="false" ht="15" hidden="false" customHeight="false" outlineLevel="0" collapsed="false">
      <c r="A73" s="23" t="s">
        <v>37</v>
      </c>
    </row>
  </sheetData>
  <mergeCells count="2">
    <mergeCell ref="A1:I1"/>
    <mergeCell ref="A2:I2"/>
  </mergeCells>
  <hyperlinks>
    <hyperlink ref="E5" r:id="rId1" display="https://www.oneplus.com/global/nord-ce6/specs"/>
    <hyperlink ref="E6" r:id="rId2" display="https://www.91mobiles.com/hub/oneplus-nord-ce-6-ce-6-lite-launched-price-specifications-sale/"/>
    <hyperlink ref="E7" r:id="rId3" display="https://tech.sportskeeda.com/mobiles/oneplus-nord-ce6-series-launched-india-specs-features-price"/>
    <hyperlink ref="E8" r:id="rId4" display="https://www.mymobileindia.com/oneplus-nord-ce-6-gets-another-price-hike-in-india-now-costs-rs-4000-more-than-launch-price/"/>
    <hyperlink ref="E9" r:id="rId5" display="https://www.amazon.in/OnePlus-Snapdragon-Segments-Fastest-Response/dp/B0GWLHVJRH"/>
    <hyperlink ref="E10" r:id="rId6" display="https://www.flipkart.com/oneplus-nord-ce6-pitch-black-128-gb/p/itmd7b224b18cb05"/>
    <hyperlink ref="E11" r:id="rId7" display="https://www.gsmarena.com/oneplus_nord_ce6_5g-14611.php"/>
    <hyperlink ref="E12" r:id="rId8" display="https://www.gsmarena.com/oneplus_nord_ce6-review-2961p5.php"/>
    <hyperlink ref="E13" r:id="rId9" display="https://9to5google.com/2026/05/08/oneplus-software-updates-nord-ce6/"/>
    <hyperlink ref="E14" r:id="rId10" display="https://gadgets.beebom.com/reviews/oneplus-nord-ce-6-review"/>
    <hyperlink ref="E15" r:id="rId11" display="https://www.mobiledokan.com/review/oneplus-nord-ce6-full-review"/>
    <hyperlink ref="E16" r:id="rId12" display="https://www.91mobiles.com/hub/alleged-oneplus-nord-ce-6-geekbench-snapdragon-7s-gen-4/"/>
    <hyperlink ref="E17" r:id="rId13" display="https://www.mysmartprice.com/mobile/oneplus-nord-ce-6-5g-256gb-msp620884"/>
    <hyperlink ref="E18" r:id="rId14" display="https://www.smartprix.com/bytes/oneplus-nord-ce6-review-with-pros-and-cons/"/>
    <hyperlink ref="E19" r:id="rId15" display="https://www.flipkart.com/oppo-k13-turbo-pro-5g-silver-knight-256-gb/p/itmeefeb718f01fe"/>
    <hyperlink ref="E20" r:id="rId16" display="https://pricehistory.app/p/oppo-k13-turbo-pro-5g-midnight-maverick-Sq8Ehqmb"/>
    <hyperlink ref="E21" r:id="rId17" display="https://www.digit.in/reviews/mobile-phones/oppo-k13-turbo-pro-review-power-doesnt-quit-cooling-fan-or-not.html"/>
    <hyperlink ref="E22" r:id="rId18" display="https://www.91mobiles.com/reviews/oppo-k13-turbo-pro-review/"/>
    <hyperlink ref="E23" r:id="rId19" display="https://www.oppo.com/in/smartphones/series-k/k13-turbo-pro/specs/"/>
    <hyperlink ref="E24" r:id="rId20" display="https://www.mysmartprice.com/mobile/oppo-k13-turbo-pro-12gb-msp620188"/>
    <hyperlink ref="E25" r:id="rId21" display="https://www.91mobiles.com/iqoo-neo-10r-price-in-india"/>
    <hyperlink ref="E26" r:id="rId22" display="https://pricehistory.app/p/iqoo-neo-10r-5g-raging-blue-12gb-xlkyfzSj"/>
    <hyperlink ref="E27" r:id="rId23" display="https://www.91mobiles.com/hub/iqoo-neo-10r-review/"/>
    <hyperlink ref="E28" r:id="rId24" display="https://www.digit.in/reviews/mobile-phones/iqoo-neo-10r-review-the-gaming-phone-you-were-waiting-for.html"/>
    <hyperlink ref="E29" r:id="rId25" display="https://www.mysmartprice.com/mobile/iqoo-neo-10r-msp619551"/>
    <hyperlink ref="E30" r:id="rId26" display="https://www.reliancedigital.in/product/realme-gt-7t-5g-256-gb-12-gb-ram-blue-mobile-phone-mbgan1-9247285"/>
    <hyperlink ref="E31" r:id="rId27" display="https://www.smartprix.com/mobiles/realme-gt-7t-12gb-ram-256gb-ppd1gzorx7ts"/>
    <hyperlink ref="E32" r:id="rId28" display="https://www.realme.com/in/realme-gt-7t-5g"/>
    <hyperlink ref="E33" r:id="rId29" display="https://www.mysmartprice.com/performance-test/realme-gt-7t-619909"/>
    <hyperlink ref="E34" r:id="rId30" display="https://www.realme.com/uk/legal/psti"/>
    <hyperlink ref="E35" r:id="rId31" display="https://www.bajajfinserv.in/oneplus-nord-5-price-in-india"/>
    <hyperlink ref="E36" r:id="rId32" display="https://www.smartprix.com/mobiles/oneplus-nord-5-12gb-ram-256gb-ppd1b9svl1s7"/>
    <hyperlink ref="E37" r:id="rId33" display="https://www.91mobiles.com/reviews/oneplus-nord-5-review/"/>
    <hyperlink ref="E38" r:id="rId34" display="https://www.mysmartprice.com/mobile/oneplus-nord-5-msp22894/benchmark-scores"/>
    <hyperlink ref="E39" r:id="rId35" display="https://gadgets.beebom.com/news/poco-x8-pro-launched-in-india-key-specifications-price-sale-date"/>
    <hyperlink ref="E40" r:id="rId36" display="https://www.smartprix.com/mobiles/poco-x8-pro-5g-12gb-ram-256gb-ppd15mvem8mu"/>
    <hyperlink ref="E41" r:id="rId37" display="https://www.91mobiles.com/poco-x8-pro-price-in-india"/>
    <hyperlink ref="E42" r:id="rId38" display="https://www.gsmarena.com/poco_x8_pro-review-2946p3.php"/>
    <hyperlink ref="E43" r:id="rId39" display="https://nanoreview.net/en/phone/xiaomi-poco-x8-pro"/>
    <hyperlink ref="E44" r:id="rId40" display="https://www.flipkart.com/poco-x8-pro-white-256-gb/p/itmaa692ca8a3b36"/>
    <hyperlink ref="E45" r:id="rId41" display="https://www.flipkart.com/redmi-note-15-pro-5g-carbon-black-512-gb/p/itm3174106e5bf60"/>
    <hyperlink ref="E46" r:id="rId42" display="https://www.fonearena.com/blog/474388/redmi-note-15-pro-5g-price-india-specifications-redmi-note-15-pro-plus-5g.html"/>
    <hyperlink ref="E47" r:id="rId43" display="https://www.91mobiles.com/reviews/redmi-note-15-pro-plus-review/"/>
    <hyperlink ref="E48" r:id="rId44" display="https://www.mysmartprice.com/performance-test/xiaomi-redmi-note-15-pro-plus-23455"/>
    <hyperlink ref="E49" r:id="rId45" display="https://www.smartprix.com/bytes/redmi-note-15-pro-review-a-lot-to-like-a-bit-to-fix/"/>
    <hyperlink ref="E50" r:id="rId46" display="https://www.91mobiles.com/vivo-t5-pro-price-in-india"/>
    <hyperlink ref="E51" r:id="rId47" display="https://www.digit.in/reviews/mobile-phones/vivo-t5-pro-review-9020mah-big-battery-for-rs-30000-but-what-is-the-catch.html"/>
    <hyperlink ref="E52" r:id="rId48" display="https://gadgets.beebom.com/reviews/vivo-t5-pro-review"/>
    <hyperlink ref="E53" r:id="rId49" display="https://vivonewsroom.in/press-release/vivo-t5-pro-with-massive-9020-mah-battery-and-snapdragon-power-on-sale-with-exciting-launch-offers/"/>
    <hyperlink ref="E54" r:id="rId50" display="https://www.91mobiles.com/motorola-edge-70-pro-5g-price-in-india"/>
    <hyperlink ref="E55" r:id="rId51" display="https://www.digit.in/reviews/mobile-phones/motorola-edge-70-pro-review-one-of-the-most-complete-phones-you-can-buy-but.html"/>
    <hyperlink ref="E56" r:id="rId52" display="https://www.gizmochina.com/product/motorola-edge-70-pro-india/"/>
    <hyperlink ref="E57" r:id="rId53" display="https://www.smartprix.com/mobiles/oneplus-nord-6-ppd1jshp0otr"/>
    <hyperlink ref="E58" r:id="rId54" display="https://www.smartprix.com/mobiles/iqoo-neo-10-12gb-ram-256gb-ppd1ui06w7iv"/>
    <hyperlink ref="E59" r:id="rId55" display="https://www.flipkart.com/realme-gt-7-icesense-black-256-gb/p/itm6cc8f84d92e2f"/>
    <hyperlink ref="E60" r:id="rId56" display="https://www.91mobiles.com/xiaomi-redmi-turbo-5-price-in-india"/>
    <hyperlink ref="E61" r:id="rId57" display="https://www.smartprix.com/mobiles/nothing-phone-4a-ppd1wt9hfgkb"/>
    <hyperlink ref="E62" r:id="rId58" display="https://www.realme.com/in/realme-p4-power-5g/specs"/>
    <hyperlink ref="E63" r:id="rId59" display="https://www.cashify.in/iqoo-neo-11-price-in-india"/>
    <hyperlink ref="E64" r:id="rId60" display="https://gadgets.beebom.com/best-phones-under-40000"/>
    <hyperlink ref="E65" r:id="rId61" display="https://www.gizmochina.com/2026/06/06/snapdragon-8s-gen-4-vs-dimensity-8500-ultra-benchmark-score-spec-sheet-and-mor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6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true"/>
  </sheetPr>
  <dimension ref="A1:H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
    <col collapsed="false" customWidth="true" hidden="false" outlineLevel="0" max="3" min="3" style="0" width="30"/>
    <col collapsed="false" customWidth="true" hidden="false" outlineLevel="0" max="4" min="4" style="0" width="13"/>
    <col collapsed="false" customWidth="true" hidden="false" outlineLevel="0" max="5" min="5" style="0" width="12"/>
    <col collapsed="false" customWidth="true" hidden="false" outlineLevel="0" max="6" min="6" style="0" width="14"/>
    <col collapsed="false" customWidth="true" hidden="false" outlineLevel="0" max="7" min="7" style="0" width="52"/>
    <col collapsed="false" customWidth="true" hidden="false" outlineLevel="0" max="8" min="8" style="0" width="30"/>
  </cols>
  <sheetData>
    <row r="1" customFormat="false" ht="30" hidden="false" customHeight="true" outlineLevel="0" collapsed="false">
      <c r="A1" s="1" t="s">
        <v>973</v>
      </c>
      <c r="B1" s="1"/>
      <c r="C1" s="1"/>
      <c r="D1" s="1"/>
      <c r="E1" s="1"/>
      <c r="F1" s="1"/>
      <c r="G1" s="1"/>
      <c r="H1" s="1"/>
    </row>
    <row r="2" customFormat="false" ht="42" hidden="false" customHeight="true" outlineLevel="0" collapsed="false">
      <c r="A2" s="2" t="s">
        <v>974</v>
      </c>
      <c r="B2" s="2"/>
      <c r="C2" s="2"/>
      <c r="D2" s="2"/>
      <c r="E2" s="2"/>
      <c r="F2" s="2"/>
      <c r="G2" s="2"/>
      <c r="H2" s="2"/>
    </row>
    <row r="4" customFormat="false" ht="25.5" hidden="false" customHeight="true" outlineLevel="0" collapsed="false">
      <c r="A4" s="43" t="s">
        <v>975</v>
      </c>
      <c r="B4" s="44" t="str">
        <f aca="false">Scorecard!D18&amp;"  ("&amp;Scorecard!E18&amp;")  –  "&amp;Scorecard!C18&amp;"/100"</f>
        <v>realme GT 7T 5G  (12GB + 256GB)  –  81/100</v>
      </c>
      <c r="C4" s="44"/>
      <c r="D4" s="44"/>
      <c r="E4" s="44"/>
      <c r="F4" s="45" t="n">
        <f aca="false">Scorecard!F18</f>
        <v>37999</v>
      </c>
      <c r="G4" s="46" t="str">
        <f aca="false">INDEX(Scorecard!$W$5:$W$13,MATCH(Scorecard!D18,Scorecard!$B$5:$B$13,0))</f>
        <v>Open listing / source</v>
      </c>
    </row>
    <row r="6" customFormat="false" ht="31.5" hidden="false" customHeight="true" outlineLevel="0" collapsed="false">
      <c r="A6" s="5" t="s">
        <v>673</v>
      </c>
      <c r="B6" s="5" t="s">
        <v>21</v>
      </c>
      <c r="C6" s="5" t="s">
        <v>22</v>
      </c>
      <c r="D6" s="5" t="s">
        <v>6</v>
      </c>
      <c r="E6" s="5" t="s">
        <v>976</v>
      </c>
      <c r="F6" s="5" t="s">
        <v>7</v>
      </c>
      <c r="G6" s="5" t="s">
        <v>977</v>
      </c>
      <c r="H6" s="5" t="s">
        <v>978</v>
      </c>
    </row>
    <row r="7" customFormat="false" ht="23.85" hidden="false" customHeight="false" outlineLevel="0" collapsed="false">
      <c r="A7" s="11" t="s">
        <v>979</v>
      </c>
      <c r="B7" s="31" t="n">
        <v>1</v>
      </c>
      <c r="C7" s="12" t="str">
        <f aca="false">INDEX(Scorecard!$B$5:$B$13,MATCH(LARGE(Scorecard!$Z$5:$Z$13,1),Scorecard!$Z$5:$Z$13,0))</f>
        <v>realme GT 7T 5G</v>
      </c>
      <c r="D7" s="12" t="str">
        <f aca="false">INDEX(Scorecard!$C$5:$C$13,MATCH(C7,Scorecard!$B$5:$B$13,0))</f>
        <v>12GB + 256GB</v>
      </c>
      <c r="E7" s="31" t="n">
        <f aca="false">INDEX(Scorecard!$P$5:$P$13,MATCH(C7,Scorecard!$B$5:$B$13,0))</f>
        <v>81</v>
      </c>
      <c r="F7" s="26" t="n">
        <f aca="false">INDEX(Scorecard!$G$5:$G$13,MATCH(C7,Scorecard!$B$5:$B$13,0))</f>
        <v>37999</v>
      </c>
      <c r="G7" s="12" t="s">
        <v>980</v>
      </c>
      <c r="H7" s="12" t="s">
        <v>981</v>
      </c>
    </row>
    <row r="8" customFormat="false" ht="15" hidden="false" customHeight="false" outlineLevel="0" collapsed="false">
      <c r="A8" s="11"/>
      <c r="B8" s="31" t="n">
        <v>2</v>
      </c>
      <c r="C8" s="12" t="str">
        <f aca="false">INDEX(Scorecard!$B$5:$B$13,MATCH(LARGE(Scorecard!$Z$5:$Z$13,2),Scorecard!$Z$5:$Z$13,0))</f>
        <v>POCO X8 Pro 5G</v>
      </c>
      <c r="D8" s="12" t="str">
        <f aca="false">INDEX(Scorecard!$C$5:$C$13,MATCH(C8,Scorecard!$B$5:$B$13,0))</f>
        <v>12GB + 256GB</v>
      </c>
      <c r="E8" s="31" t="n">
        <f aca="false">INDEX(Scorecard!$P$5:$P$13,MATCH(C8,Scorecard!$B$5:$B$13,0))</f>
        <v>79</v>
      </c>
      <c r="F8" s="26" t="n">
        <f aca="false">INDEX(Scorecard!$G$5:$G$13,MATCH(C8,Scorecard!$B$5:$B$13,0))</f>
        <v>39999</v>
      </c>
      <c r="G8" s="12"/>
      <c r="H8" s="12"/>
    </row>
    <row r="9" customFormat="false" ht="15" hidden="false" customHeight="false" outlineLevel="0" collapsed="false">
      <c r="A9" s="11"/>
      <c r="B9" s="31" t="n">
        <v>3</v>
      </c>
      <c r="C9" s="12" t="str">
        <f aca="false">INDEX(Scorecard!$B$5:$B$13,MATCH(LARGE(Scorecard!$Z$5:$Z$13,3),Scorecard!$Z$5:$Z$13,0))</f>
        <v>OPPO K13 Turbo Pro 5G</v>
      </c>
      <c r="D9" s="12" t="str">
        <f aca="false">INDEX(Scorecard!$C$5:$C$13,MATCH(C9,Scorecard!$B$5:$B$13,0))</f>
        <v>12GB + 256GB</v>
      </c>
      <c r="E9" s="31" t="n">
        <f aca="false">INDEX(Scorecard!$P$5:$P$13,MATCH(C9,Scorecard!$B$5:$B$13,0))</f>
        <v>78</v>
      </c>
      <c r="F9" s="26" t="n">
        <f aca="false">INDEX(Scorecard!$G$5:$G$13,MATCH(C9,Scorecard!$B$5:$B$13,0))</f>
        <v>33999</v>
      </c>
      <c r="G9" s="12"/>
      <c r="H9" s="12"/>
    </row>
    <row r="10" customFormat="false" ht="23.85" hidden="false" customHeight="false" outlineLevel="0" collapsed="false">
      <c r="A10" s="11" t="s">
        <v>982</v>
      </c>
      <c r="B10" s="31" t="n">
        <v>1</v>
      </c>
      <c r="C10" s="12" t="str">
        <f aca="false">INDEX(Scorecard!$B$5:$B$13,MATCH(LARGE(Scorecard!$AA$5:$AA$13,1),Scorecard!$AA$5:$AA$13,0))</f>
        <v>OPPO K13 Turbo Pro 5G</v>
      </c>
      <c r="D10" s="12" t="str">
        <f aca="false">INDEX(Scorecard!$C$5:$C$13,MATCH(C10,Scorecard!$B$5:$B$13,0))</f>
        <v>12GB + 256GB</v>
      </c>
      <c r="E10" s="31" t="n">
        <f aca="false">INDEX(Scorecard!$H$5:$H$13,MATCH(C10,Scorecard!$B$5:$B$13,0))</f>
        <v>24</v>
      </c>
      <c r="F10" s="26" t="n">
        <f aca="false">INDEX(Scorecard!$G$5:$G$13,MATCH(C10,Scorecard!$B$5:$B$13,0))</f>
        <v>33999</v>
      </c>
      <c r="G10" s="12" t="s">
        <v>983</v>
      </c>
      <c r="H10" s="12" t="s">
        <v>984</v>
      </c>
    </row>
    <row r="11" customFormat="false" ht="15" hidden="false" customHeight="false" outlineLevel="0" collapsed="false">
      <c r="A11" s="11"/>
      <c r="B11" s="31" t="n">
        <v>2</v>
      </c>
      <c r="C11" s="12" t="str">
        <f aca="false">INDEX(Scorecard!$B$5:$B$13,MATCH(LARGE(Scorecard!$AA$5:$AA$13,2),Scorecard!$AA$5:$AA$13,0))</f>
        <v>POCO X8 Pro 5G</v>
      </c>
      <c r="D11" s="12" t="str">
        <f aca="false">INDEX(Scorecard!$C$5:$C$13,MATCH(C11,Scorecard!$B$5:$B$13,0))</f>
        <v>12GB + 256GB</v>
      </c>
      <c r="E11" s="31" t="n">
        <f aca="false">INDEX(Scorecard!$H$5:$H$13,MATCH(C11,Scorecard!$B$5:$B$13,0))</f>
        <v>24</v>
      </c>
      <c r="F11" s="26" t="n">
        <f aca="false">INDEX(Scorecard!$G$5:$G$13,MATCH(C11,Scorecard!$B$5:$B$13,0))</f>
        <v>39999</v>
      </c>
      <c r="G11" s="12"/>
      <c r="H11" s="12"/>
    </row>
    <row r="12" customFormat="false" ht="15" hidden="false" customHeight="false" outlineLevel="0" collapsed="false">
      <c r="A12" s="11"/>
      <c r="B12" s="31" t="n">
        <v>3</v>
      </c>
      <c r="C12" s="12" t="str">
        <f aca="false">INDEX(Scorecard!$B$5:$B$13,MATCH(LARGE(Scorecard!$AA$5:$AA$13,3),Scorecard!$AA$5:$AA$13,0))</f>
        <v>realme GT 7T 5G</v>
      </c>
      <c r="D12" s="12" t="str">
        <f aca="false">INDEX(Scorecard!$C$5:$C$13,MATCH(C12,Scorecard!$B$5:$B$13,0))</f>
        <v>12GB + 256GB</v>
      </c>
      <c r="E12" s="31" t="n">
        <f aca="false">INDEX(Scorecard!$H$5:$H$13,MATCH(C12,Scorecard!$B$5:$B$13,0))</f>
        <v>22</v>
      </c>
      <c r="F12" s="26" t="n">
        <f aca="false">INDEX(Scorecard!$G$5:$G$13,MATCH(C12,Scorecard!$B$5:$B$13,0))</f>
        <v>37999</v>
      </c>
      <c r="G12" s="12"/>
      <c r="H12" s="12"/>
    </row>
    <row r="13" customFormat="false" ht="23.85" hidden="false" customHeight="false" outlineLevel="0" collapsed="false">
      <c r="A13" s="11" t="s">
        <v>985</v>
      </c>
      <c r="B13" s="31" t="n">
        <v>1</v>
      </c>
      <c r="C13" s="12" t="str">
        <f aca="false">INDEX(Scorecard!$B$5:$B$13,MATCH(LARGE(Scorecard!$AA$5:$AA$13,1),Scorecard!$AA$5:$AA$13,0))</f>
        <v>OPPO K13 Turbo Pro 5G</v>
      </c>
      <c r="D13" s="12" t="str">
        <f aca="false">INDEX(Scorecard!$C$5:$C$13,MATCH(C13,Scorecard!$B$5:$B$13,0))</f>
        <v>12GB + 256GB</v>
      </c>
      <c r="E13" s="31" t="n">
        <f aca="false">INDEX(Scorecard!$H$5:$H$13,MATCH(C13,Scorecard!$B$5:$B$13,0))</f>
        <v>24</v>
      </c>
      <c r="F13" s="26" t="n">
        <f aca="false">INDEX(Scorecard!$G$5:$G$13,MATCH(C13,Scorecard!$B$5:$B$13,0))</f>
        <v>33999</v>
      </c>
      <c r="G13" s="12" t="s">
        <v>986</v>
      </c>
      <c r="H13" s="12" t="s">
        <v>987</v>
      </c>
    </row>
    <row r="14" customFormat="false" ht="15" hidden="false" customHeight="false" outlineLevel="0" collapsed="false">
      <c r="A14" s="11"/>
      <c r="B14" s="31" t="n">
        <v>2</v>
      </c>
      <c r="C14" s="12" t="str">
        <f aca="false">INDEX(Scorecard!$B$5:$B$13,MATCH(LARGE(Scorecard!$AA$5:$AA$13,2),Scorecard!$AA$5:$AA$13,0))</f>
        <v>POCO X8 Pro 5G</v>
      </c>
      <c r="D14" s="12" t="str">
        <f aca="false">INDEX(Scorecard!$C$5:$C$13,MATCH(C14,Scorecard!$B$5:$B$13,0))</f>
        <v>12GB + 256GB</v>
      </c>
      <c r="E14" s="31" t="n">
        <f aca="false">INDEX(Scorecard!$H$5:$H$13,MATCH(C14,Scorecard!$B$5:$B$13,0))</f>
        <v>24</v>
      </c>
      <c r="F14" s="26" t="n">
        <f aca="false">INDEX(Scorecard!$G$5:$G$13,MATCH(C14,Scorecard!$B$5:$B$13,0))</f>
        <v>39999</v>
      </c>
      <c r="G14" s="12"/>
      <c r="H14" s="12"/>
    </row>
    <row r="15" customFormat="false" ht="15" hidden="false" customHeight="false" outlineLevel="0" collapsed="false">
      <c r="A15" s="11"/>
      <c r="B15" s="31" t="n">
        <v>3</v>
      </c>
      <c r="C15" s="12" t="str">
        <f aca="false">INDEX(Scorecard!$B$5:$B$13,MATCH(LARGE(Scorecard!$AA$5:$AA$13,3),Scorecard!$AA$5:$AA$13,0))</f>
        <v>realme GT 7T 5G</v>
      </c>
      <c r="D15" s="12" t="str">
        <f aca="false">INDEX(Scorecard!$C$5:$C$13,MATCH(C15,Scorecard!$B$5:$B$13,0))</f>
        <v>12GB + 256GB</v>
      </c>
      <c r="E15" s="31" t="n">
        <f aca="false">INDEX(Scorecard!$H$5:$H$13,MATCH(C15,Scorecard!$B$5:$B$13,0))</f>
        <v>22</v>
      </c>
      <c r="F15" s="26" t="n">
        <f aca="false">INDEX(Scorecard!$G$5:$G$13,MATCH(C15,Scorecard!$B$5:$B$13,0))</f>
        <v>37999</v>
      </c>
      <c r="G15" s="12"/>
      <c r="H15" s="12"/>
    </row>
    <row r="16" customFormat="false" ht="23.85" hidden="false" customHeight="false" outlineLevel="0" collapsed="false">
      <c r="A16" s="11" t="s">
        <v>678</v>
      </c>
      <c r="B16" s="31" t="n">
        <v>1</v>
      </c>
      <c r="C16" s="12" t="str">
        <f aca="false">INDEX(Scorecard!$B$5:$B$13,MATCH(LARGE(Scorecard!$AB$5:$AB$13,1),Scorecard!$AB$5:$AB$13,0))</f>
        <v>Redmi Note 15 Pro+ 5G</v>
      </c>
      <c r="D16" s="12" t="str">
        <f aca="false">INDEX(Scorecard!$C$5:$C$13,MATCH(C16,Scorecard!$B$5:$B$13,0))</f>
        <v>12GB + 512GB</v>
      </c>
      <c r="E16" s="31" t="n">
        <f aca="false">INDEX(Scorecard!$J$5:$J$13,MATCH(C16,Scorecard!$B$5:$B$13,0))</f>
        <v>12</v>
      </c>
      <c r="F16" s="26" t="n">
        <f aca="false">INDEX(Scorecard!$G$5:$G$13,MATCH(C16,Scorecard!$B$5:$B$13,0))</f>
        <v>38990</v>
      </c>
      <c r="G16" s="12" t="s">
        <v>988</v>
      </c>
      <c r="H16" s="12" t="s">
        <v>989</v>
      </c>
    </row>
    <row r="17" customFormat="false" ht="15" hidden="false" customHeight="false" outlineLevel="0" collapsed="false">
      <c r="A17" s="11"/>
      <c r="B17" s="31" t="n">
        <v>2</v>
      </c>
      <c r="C17" s="12" t="str">
        <f aca="false">INDEX(Scorecard!$B$5:$B$13,MATCH(LARGE(Scorecard!$AB$5:$AB$13,2),Scorecard!$AB$5:$AB$13,0))</f>
        <v>OnePlus Nord 5</v>
      </c>
      <c r="D17" s="12" t="str">
        <f aca="false">INDEX(Scorecard!$C$5:$C$13,MATCH(C17,Scorecard!$B$5:$B$13,0))</f>
        <v>12GB + 256GB</v>
      </c>
      <c r="E17" s="31" t="n">
        <f aca="false">INDEX(Scorecard!$J$5:$J$13,MATCH(C17,Scorecard!$B$5:$B$13,0))</f>
        <v>11</v>
      </c>
      <c r="F17" s="26" t="n">
        <f aca="false">INDEX(Scorecard!$G$5:$G$13,MATCH(C17,Scorecard!$B$5:$B$13,0))</f>
        <v>36999</v>
      </c>
      <c r="G17" s="12"/>
      <c r="H17" s="12"/>
    </row>
    <row r="18" customFormat="false" ht="15" hidden="false" customHeight="false" outlineLevel="0" collapsed="false">
      <c r="A18" s="11"/>
      <c r="B18" s="31" t="n">
        <v>3</v>
      </c>
      <c r="C18" s="12" t="str">
        <f aca="false">INDEX(Scorecard!$B$5:$B$13,MATCH(LARGE(Scorecard!$AB$5:$AB$13,3),Scorecard!$AB$5:$AB$13,0))</f>
        <v>iQOO Neo 10R 5G</v>
      </c>
      <c r="D18" s="12" t="str">
        <f aca="false">INDEX(Scorecard!$C$5:$C$13,MATCH(C18,Scorecard!$B$5:$B$13,0))</f>
        <v>12GB + 256GB</v>
      </c>
      <c r="E18" s="31" t="n">
        <f aca="false">INDEX(Scorecard!$J$5:$J$13,MATCH(C18,Scorecard!$B$5:$B$13,0))</f>
        <v>10</v>
      </c>
      <c r="F18" s="26" t="n">
        <f aca="false">INDEX(Scorecard!$G$5:$G$13,MATCH(C18,Scorecard!$B$5:$B$13,0))</f>
        <v>27990</v>
      </c>
      <c r="G18" s="12"/>
      <c r="H18" s="12"/>
    </row>
    <row r="19" customFormat="false" ht="23.85" hidden="false" customHeight="false" outlineLevel="0" collapsed="false">
      <c r="A19" s="11" t="s">
        <v>990</v>
      </c>
      <c r="B19" s="31" t="n">
        <v>1</v>
      </c>
      <c r="C19" s="12" t="str">
        <f aca="false">INDEX(Scorecard!$B$5:$B$13,MATCH(LARGE(Scorecard!$AC$5:$AC$13,1),Scorecard!$AC$5:$AC$13,0))</f>
        <v>vivo T5 Pro 5G</v>
      </c>
      <c r="D19" s="12" t="str">
        <f aca="false">INDEX(Scorecard!$C$5:$C$13,MATCH(C19,Scorecard!$B$5:$B$13,0))</f>
        <v>12GB + 256GB</v>
      </c>
      <c r="E19" s="31" t="n">
        <f aca="false">INDEX(Scorecard!$K$5:$K$13,MATCH(C19,Scorecard!$B$5:$B$13,0))</f>
        <v>15</v>
      </c>
      <c r="F19" s="26" t="n">
        <f aca="false">INDEX(Scorecard!$G$5:$G$13,MATCH(C19,Scorecard!$B$5:$B$13,0))</f>
        <v>39999</v>
      </c>
      <c r="G19" s="12" t="s">
        <v>991</v>
      </c>
      <c r="H19" s="12" t="s">
        <v>992</v>
      </c>
    </row>
    <row r="20" customFormat="false" ht="15" hidden="false" customHeight="false" outlineLevel="0" collapsed="false">
      <c r="A20" s="11"/>
      <c r="B20" s="31" t="n">
        <v>2</v>
      </c>
      <c r="C20" s="12" t="str">
        <f aca="false">INDEX(Scorecard!$B$5:$B$13,MATCH(LARGE(Scorecard!$AC$5:$AC$13,2),Scorecard!$AC$5:$AC$13,0))</f>
        <v>realme GT 7T 5G</v>
      </c>
      <c r="D20" s="12" t="str">
        <f aca="false">INDEX(Scorecard!$C$5:$C$13,MATCH(C20,Scorecard!$B$5:$B$13,0))</f>
        <v>12GB + 256GB</v>
      </c>
      <c r="E20" s="31" t="n">
        <f aca="false">INDEX(Scorecard!$K$5:$K$13,MATCH(C20,Scorecard!$B$5:$B$13,0))</f>
        <v>13</v>
      </c>
      <c r="F20" s="26" t="n">
        <f aca="false">INDEX(Scorecard!$G$5:$G$13,MATCH(C20,Scorecard!$B$5:$B$13,0))</f>
        <v>37999</v>
      </c>
      <c r="G20" s="12"/>
      <c r="H20" s="12"/>
    </row>
    <row r="21" customFormat="false" ht="15" hidden="false" customHeight="false" outlineLevel="0" collapsed="false">
      <c r="A21" s="11"/>
      <c r="B21" s="31" t="n">
        <v>3</v>
      </c>
      <c r="C21" s="12" t="str">
        <f aca="false">INDEX(Scorecard!$B$5:$B$13,MATCH(LARGE(Scorecard!$AC$5:$AC$13,3),Scorecard!$AC$5:$AC$13,0))</f>
        <v>OPPO K13 Turbo Pro 5G</v>
      </c>
      <c r="D21" s="12" t="str">
        <f aca="false">INDEX(Scorecard!$C$5:$C$13,MATCH(C21,Scorecard!$B$5:$B$13,0))</f>
        <v>12GB + 256GB</v>
      </c>
      <c r="E21" s="31" t="n">
        <f aca="false">INDEX(Scorecard!$K$5:$K$13,MATCH(C21,Scorecard!$B$5:$B$13,0))</f>
        <v>12</v>
      </c>
      <c r="F21" s="26" t="n">
        <f aca="false">INDEX(Scorecard!$G$5:$G$13,MATCH(C21,Scorecard!$B$5:$B$13,0))</f>
        <v>33999</v>
      </c>
      <c r="G21" s="12"/>
      <c r="H21" s="12"/>
    </row>
    <row r="22" customFormat="false" ht="15" hidden="false" customHeight="false" outlineLevel="0" collapsed="false">
      <c r="A22" s="11" t="s">
        <v>77</v>
      </c>
      <c r="B22" s="31" t="n">
        <v>1</v>
      </c>
      <c r="C22" s="12" t="str">
        <f aca="false">INDEX(Scorecard!$B$5:$B$13,MATCH(LARGE(Scorecard!$AD$5:$AD$13,1),Scorecard!$AD$5:$AD$13,0))</f>
        <v>realme GT 7T 5G</v>
      </c>
      <c r="D22" s="12" t="str">
        <f aca="false">INDEX(Scorecard!$C$5:$C$13,MATCH(C22,Scorecard!$B$5:$B$13,0))</f>
        <v>12GB + 256GB</v>
      </c>
      <c r="E22" s="31" t="n">
        <f aca="false">INDEX(Scorecard!$I$5:$I$13,MATCH(C22,Scorecard!$B$5:$B$13,0))</f>
        <v>13</v>
      </c>
      <c r="F22" s="26" t="n">
        <f aca="false">INDEX(Scorecard!$G$5:$G$13,MATCH(C22,Scorecard!$B$5:$B$13,0))</f>
        <v>37999</v>
      </c>
      <c r="G22" s="12" t="s">
        <v>993</v>
      </c>
      <c r="H22" s="12" t="s">
        <v>994</v>
      </c>
    </row>
    <row r="23" customFormat="false" ht="15" hidden="false" customHeight="false" outlineLevel="0" collapsed="false">
      <c r="A23" s="11"/>
      <c r="B23" s="31" t="n">
        <v>2</v>
      </c>
      <c r="C23" s="12" t="str">
        <f aca="false">INDEX(Scorecard!$B$5:$B$13,MATCH(LARGE(Scorecard!$AD$5:$AD$13,2),Scorecard!$AD$5:$AD$13,0))</f>
        <v>iQOO Neo 10R 5G</v>
      </c>
      <c r="D23" s="12" t="str">
        <f aca="false">INDEX(Scorecard!$C$5:$C$13,MATCH(C23,Scorecard!$B$5:$B$13,0))</f>
        <v>12GB + 256GB</v>
      </c>
      <c r="E23" s="31" t="n">
        <f aca="false">INDEX(Scorecard!$I$5:$I$13,MATCH(C23,Scorecard!$B$5:$B$13,0))</f>
        <v>12</v>
      </c>
      <c r="F23" s="26" t="n">
        <f aca="false">INDEX(Scorecard!$G$5:$G$13,MATCH(C23,Scorecard!$B$5:$B$13,0))</f>
        <v>27990</v>
      </c>
      <c r="G23" s="12"/>
      <c r="H23" s="12"/>
    </row>
    <row r="24" customFormat="false" ht="15" hidden="false" customHeight="false" outlineLevel="0" collapsed="false">
      <c r="A24" s="11"/>
      <c r="B24" s="31" t="n">
        <v>3</v>
      </c>
      <c r="C24" s="12" t="str">
        <f aca="false">INDEX(Scorecard!$B$5:$B$13,MATCH(LARGE(Scorecard!$AD$5:$AD$13,3),Scorecard!$AD$5:$AD$13,0))</f>
        <v>OnePlus Nord 5</v>
      </c>
      <c r="D24" s="12" t="str">
        <f aca="false">INDEX(Scorecard!$C$5:$C$13,MATCH(C24,Scorecard!$B$5:$B$13,0))</f>
        <v>12GB + 256GB</v>
      </c>
      <c r="E24" s="31" t="n">
        <f aca="false">INDEX(Scorecard!$I$5:$I$13,MATCH(C24,Scorecard!$B$5:$B$13,0))</f>
        <v>12</v>
      </c>
      <c r="F24" s="26" t="n">
        <f aca="false">INDEX(Scorecard!$G$5:$G$13,MATCH(C24,Scorecard!$B$5:$B$13,0))</f>
        <v>36999</v>
      </c>
      <c r="G24" s="12"/>
      <c r="H24" s="12"/>
    </row>
    <row r="25" customFormat="false" ht="15" hidden="false" customHeight="false" outlineLevel="0" collapsed="false">
      <c r="A25" s="11" t="s">
        <v>995</v>
      </c>
      <c r="B25" s="31" t="n">
        <v>1</v>
      </c>
      <c r="C25" s="12" t="str">
        <f aca="false">INDEX(Scorecard!$B$5:$B$13,MATCH(LARGE(Scorecard!$AE$5:$AE$13,1),Scorecard!$AE$5:$AE$13,0))</f>
        <v>Redmi Note 15 Pro+ 5G</v>
      </c>
      <c r="D25" s="12" t="str">
        <f aca="false">INDEX(Scorecard!$C$5:$C$13,MATCH(C25,Scorecard!$B$5:$B$13,0))</f>
        <v>12GB + 512GB</v>
      </c>
      <c r="E25" s="31" t="n">
        <f aca="false">INDEX(Scorecard!$L$5:$L$13,MATCH(C25,Scorecard!$B$5:$B$13,0))</f>
        <v>8</v>
      </c>
      <c r="F25" s="26" t="n">
        <f aca="false">INDEX(Scorecard!$G$5:$G$13,MATCH(C25,Scorecard!$B$5:$B$13,0))</f>
        <v>38990</v>
      </c>
      <c r="G25" s="12" t="s">
        <v>996</v>
      </c>
      <c r="H25" s="12" t="s">
        <v>997</v>
      </c>
    </row>
    <row r="26" customFormat="false" ht="15" hidden="false" customHeight="false" outlineLevel="0" collapsed="false">
      <c r="A26" s="11"/>
      <c r="B26" s="31" t="n">
        <v>2</v>
      </c>
      <c r="C26" s="12" t="str">
        <f aca="false">INDEX(Scorecard!$B$5:$B$13,MATCH(LARGE(Scorecard!$AE$5:$AE$13,2),Scorecard!$AE$5:$AE$13,0))</f>
        <v>realme GT 7T 5G</v>
      </c>
      <c r="D26" s="12" t="str">
        <f aca="false">INDEX(Scorecard!$C$5:$C$13,MATCH(C26,Scorecard!$B$5:$B$13,0))</f>
        <v>12GB + 256GB</v>
      </c>
      <c r="E26" s="31" t="n">
        <f aca="false">INDEX(Scorecard!$L$5:$L$13,MATCH(C26,Scorecard!$B$5:$B$13,0))</f>
        <v>7</v>
      </c>
      <c r="F26" s="26" t="n">
        <f aca="false">INDEX(Scorecard!$G$5:$G$13,MATCH(C26,Scorecard!$B$5:$B$13,0))</f>
        <v>37999</v>
      </c>
      <c r="G26" s="12"/>
      <c r="H26" s="12"/>
    </row>
    <row r="27" customFormat="false" ht="15" hidden="false" customHeight="false" outlineLevel="0" collapsed="false">
      <c r="A27" s="11"/>
      <c r="B27" s="31" t="n">
        <v>3</v>
      </c>
      <c r="C27" s="12" t="str">
        <f aca="false">INDEX(Scorecard!$B$5:$B$13,MATCH(LARGE(Scorecard!$AE$5:$AE$13,3),Scorecard!$AE$5:$AE$13,0))</f>
        <v>OnePlus Nord 5</v>
      </c>
      <c r="D27" s="12" t="str">
        <f aca="false">INDEX(Scorecard!$C$5:$C$13,MATCH(C27,Scorecard!$B$5:$B$13,0))</f>
        <v>12GB + 256GB</v>
      </c>
      <c r="E27" s="31" t="n">
        <f aca="false">INDEX(Scorecard!$L$5:$L$13,MATCH(C27,Scorecard!$B$5:$B$13,0))</f>
        <v>7</v>
      </c>
      <c r="F27" s="26" t="n">
        <f aca="false">INDEX(Scorecard!$G$5:$G$13,MATCH(C27,Scorecard!$B$5:$B$13,0))</f>
        <v>36999</v>
      </c>
      <c r="G27" s="12"/>
      <c r="H27" s="12"/>
    </row>
    <row r="28" customFormat="false" ht="15" hidden="false" customHeight="false" outlineLevel="0" collapsed="false">
      <c r="A28" s="11" t="s">
        <v>681</v>
      </c>
      <c r="B28" s="31" t="n">
        <v>1</v>
      </c>
      <c r="C28" s="12" t="str">
        <f aca="false">INDEX(Scorecard!$B$5:$B$13,MATCH(LARGE(Scorecard!$AF$5:$AF$13,1),Scorecard!$AF$5:$AF$13,0))</f>
        <v>POCO X8 Pro 5G</v>
      </c>
      <c r="D28" s="12" t="str">
        <f aca="false">INDEX(Scorecard!$C$5:$C$13,MATCH(C28,Scorecard!$B$5:$B$13,0))</f>
        <v>12GB + 256GB</v>
      </c>
      <c r="E28" s="31" t="n">
        <f aca="false">INDEX(Scorecard!$M$5:$M$13,MATCH(C28,Scorecard!$B$5:$B$13,0))</f>
        <v>5</v>
      </c>
      <c r="F28" s="26" t="n">
        <f aca="false">INDEX(Scorecard!$G$5:$G$13,MATCH(C28,Scorecard!$B$5:$B$13,0))</f>
        <v>39999</v>
      </c>
      <c r="G28" s="12" t="s">
        <v>998</v>
      </c>
      <c r="H28" s="12" t="s">
        <v>773</v>
      </c>
    </row>
    <row r="29" customFormat="false" ht="15" hidden="false" customHeight="false" outlineLevel="0" collapsed="false">
      <c r="A29" s="11"/>
      <c r="B29" s="31" t="n">
        <v>2</v>
      </c>
      <c r="C29" s="12" t="str">
        <f aca="false">INDEX(Scorecard!$B$5:$B$13,MATCH(LARGE(Scorecard!$AF$5:$AF$13,2),Scorecard!$AF$5:$AF$13,0))</f>
        <v>Redmi Note 15 Pro+ 5G</v>
      </c>
      <c r="D29" s="12" t="str">
        <f aca="false">INDEX(Scorecard!$C$5:$C$13,MATCH(C29,Scorecard!$B$5:$B$13,0))</f>
        <v>12GB + 512GB</v>
      </c>
      <c r="E29" s="31" t="n">
        <f aca="false">INDEX(Scorecard!$M$5:$M$13,MATCH(C29,Scorecard!$B$5:$B$13,0))</f>
        <v>5</v>
      </c>
      <c r="F29" s="26" t="n">
        <f aca="false">INDEX(Scorecard!$G$5:$G$13,MATCH(C29,Scorecard!$B$5:$B$13,0))</f>
        <v>38990</v>
      </c>
      <c r="G29" s="12"/>
      <c r="H29" s="12"/>
    </row>
    <row r="30" customFormat="false" ht="15" hidden="false" customHeight="false" outlineLevel="0" collapsed="false">
      <c r="A30" s="11"/>
      <c r="B30" s="31" t="n">
        <v>3</v>
      </c>
      <c r="C30" s="12" t="str">
        <f aca="false">INDEX(Scorecard!$B$5:$B$13,MATCH(LARGE(Scorecard!$AF$5:$AF$13,3),Scorecard!$AF$5:$AF$13,0))</f>
        <v>vivo T5 Pro 5G</v>
      </c>
      <c r="D30" s="12" t="str">
        <f aca="false">INDEX(Scorecard!$C$5:$C$13,MATCH(C30,Scorecard!$B$5:$B$13,0))</f>
        <v>12GB + 256GB</v>
      </c>
      <c r="E30" s="31" t="n">
        <f aca="false">INDEX(Scorecard!$M$5:$M$13,MATCH(C30,Scorecard!$B$5:$B$13,0))</f>
        <v>5</v>
      </c>
      <c r="F30" s="26" t="n">
        <f aca="false">INDEX(Scorecard!$G$5:$G$13,MATCH(C30,Scorecard!$B$5:$B$13,0))</f>
        <v>39999</v>
      </c>
      <c r="G30" s="12"/>
      <c r="H30" s="12"/>
    </row>
    <row r="31" customFormat="false" ht="15" hidden="false" customHeight="false" outlineLevel="0" collapsed="false">
      <c r="A31" s="11" t="s">
        <v>999</v>
      </c>
      <c r="B31" s="31" t="n">
        <v>1</v>
      </c>
      <c r="C31" s="12" t="str">
        <f aca="false">INDEX(Scorecard!$B$5:$B$13,MATCH(LARGE(Scorecard!$AG$5:$AG$13,1),Scorecard!$AG$5:$AG$13,0))</f>
        <v>iQOO Neo 10R 5G</v>
      </c>
      <c r="D31" s="12" t="str">
        <f aca="false">INDEX(Scorecard!$C$5:$C$13,MATCH(C31,Scorecard!$B$5:$B$13,0))</f>
        <v>12GB + 256GB</v>
      </c>
      <c r="E31" s="31" t="n">
        <f aca="false">INDEX(Scorecard!$N$5:$N$13,MATCH(C31,Scorecard!$B$5:$B$13,0))</f>
        <v>5</v>
      </c>
      <c r="F31" s="26" t="n">
        <f aca="false">INDEX(Scorecard!$G$5:$G$13,MATCH(C31,Scorecard!$B$5:$B$13,0))</f>
        <v>27990</v>
      </c>
      <c r="G31" s="12" t="s">
        <v>1000</v>
      </c>
      <c r="H31" s="12" t="s">
        <v>1001</v>
      </c>
    </row>
    <row r="32" customFormat="false" ht="15" hidden="false" customHeight="false" outlineLevel="0" collapsed="false">
      <c r="A32" s="11"/>
      <c r="B32" s="31" t="n">
        <v>2</v>
      </c>
      <c r="C32" s="12" t="str">
        <f aca="false">INDEX(Scorecard!$B$5:$B$13,MATCH(LARGE(Scorecard!$AG$5:$AG$13,2),Scorecard!$AG$5:$AG$13,0))</f>
        <v>OPPO K13 Turbo Pro 5G</v>
      </c>
      <c r="D32" s="12" t="str">
        <f aca="false">INDEX(Scorecard!$C$5:$C$13,MATCH(C32,Scorecard!$B$5:$B$13,0))</f>
        <v>12GB + 256GB</v>
      </c>
      <c r="E32" s="31" t="n">
        <f aca="false">INDEX(Scorecard!$N$5:$N$13,MATCH(C32,Scorecard!$B$5:$B$13,0))</f>
        <v>4</v>
      </c>
      <c r="F32" s="26" t="n">
        <f aca="false">INDEX(Scorecard!$G$5:$G$13,MATCH(C32,Scorecard!$B$5:$B$13,0))</f>
        <v>33999</v>
      </c>
      <c r="G32" s="12"/>
      <c r="H32" s="12"/>
    </row>
    <row r="33" customFormat="false" ht="15" hidden="false" customHeight="false" outlineLevel="0" collapsed="false">
      <c r="A33" s="11"/>
      <c r="B33" s="31" t="n">
        <v>3</v>
      </c>
      <c r="C33" s="12" t="str">
        <f aca="false">INDEX(Scorecard!$B$5:$B$13,MATCH(LARGE(Scorecard!$AG$5:$AG$13,3),Scorecard!$AG$5:$AG$13,0))</f>
        <v>realme GT 7T 5G</v>
      </c>
      <c r="D33" s="12" t="str">
        <f aca="false">INDEX(Scorecard!$C$5:$C$13,MATCH(C33,Scorecard!$B$5:$B$13,0))</f>
        <v>12GB + 256GB</v>
      </c>
      <c r="E33" s="31" t="n">
        <f aca="false">INDEX(Scorecard!$N$5:$N$13,MATCH(C33,Scorecard!$B$5:$B$13,0))</f>
        <v>4</v>
      </c>
      <c r="F33" s="26" t="n">
        <f aca="false">INDEX(Scorecard!$G$5:$G$13,MATCH(C33,Scorecard!$B$5:$B$13,0))</f>
        <v>37999</v>
      </c>
      <c r="G33" s="12"/>
      <c r="H33" s="12"/>
    </row>
    <row r="34" customFormat="false" ht="15" hidden="false" customHeight="false" outlineLevel="0" collapsed="false">
      <c r="A34" s="11" t="s">
        <v>683</v>
      </c>
      <c r="B34" s="31" t="n">
        <v>1</v>
      </c>
      <c r="C34" s="12" t="str">
        <f aca="false">INDEX(Scorecard!$B$5:$B$13,MATCH(LARGE(Scorecard!$AH$5:$AH$13,1),Scorecard!$AH$5:$AH$13,0))</f>
        <v>iQOO Neo 10R 5G</v>
      </c>
      <c r="D34" s="12" t="str">
        <f aca="false">INDEX(Scorecard!$C$5:$C$13,MATCH(C34,Scorecard!$B$5:$B$13,0))</f>
        <v>12GB + 256GB</v>
      </c>
      <c r="E34" s="31" t="n">
        <f aca="false">INDEX(Scorecard!$O$5:$O$13,MATCH(C34,Scorecard!$B$5:$B$13,0))</f>
        <v>10</v>
      </c>
      <c r="F34" s="26" t="n">
        <f aca="false">INDEX(Scorecard!$G$5:$G$13,MATCH(C34,Scorecard!$B$5:$B$13,0))</f>
        <v>27990</v>
      </c>
      <c r="G34" s="12" t="s">
        <v>1002</v>
      </c>
      <c r="H34" s="12" t="s">
        <v>1003</v>
      </c>
    </row>
    <row r="35" customFormat="false" ht="15" hidden="false" customHeight="false" outlineLevel="0" collapsed="false">
      <c r="A35" s="11"/>
      <c r="B35" s="31" t="n">
        <v>2</v>
      </c>
      <c r="C35" s="12" t="str">
        <f aca="false">INDEX(Scorecard!$B$5:$B$13,MATCH(LARGE(Scorecard!$AH$5:$AH$13,2),Scorecard!$AH$5:$AH$13,0))</f>
        <v>OPPO K13 Turbo Pro 5G</v>
      </c>
      <c r="D35" s="12" t="str">
        <f aca="false">INDEX(Scorecard!$C$5:$C$13,MATCH(C35,Scorecard!$B$5:$B$13,0))</f>
        <v>12GB + 256GB</v>
      </c>
      <c r="E35" s="31" t="n">
        <f aca="false">INDEX(Scorecard!$O$5:$O$13,MATCH(C35,Scorecard!$B$5:$B$13,0))</f>
        <v>9</v>
      </c>
      <c r="F35" s="26" t="n">
        <f aca="false">INDEX(Scorecard!$G$5:$G$13,MATCH(C35,Scorecard!$B$5:$B$13,0))</f>
        <v>33999</v>
      </c>
      <c r="G35" s="12"/>
      <c r="H35" s="12"/>
    </row>
    <row r="36" customFormat="false" ht="15" hidden="false" customHeight="false" outlineLevel="0" collapsed="false">
      <c r="A36" s="11"/>
      <c r="B36" s="31" t="n">
        <v>3</v>
      </c>
      <c r="C36" s="12" t="str">
        <f aca="false">INDEX(Scorecard!$B$5:$B$13,MATCH(LARGE(Scorecard!$AH$5:$AH$13,3),Scorecard!$AH$5:$AH$13,0))</f>
        <v>realme GT 7T 5G</v>
      </c>
      <c r="D36" s="12" t="str">
        <f aca="false">INDEX(Scorecard!$C$5:$C$13,MATCH(C36,Scorecard!$B$5:$B$13,0))</f>
        <v>12GB + 256GB</v>
      </c>
      <c r="E36" s="31" t="n">
        <f aca="false">INDEX(Scorecard!$O$5:$O$13,MATCH(C36,Scorecard!$B$5:$B$13,0))</f>
        <v>8</v>
      </c>
      <c r="F36" s="26" t="n">
        <f aca="false">INDEX(Scorecard!$G$5:$G$13,MATCH(C36,Scorecard!$B$5:$B$13,0))</f>
        <v>37999</v>
      </c>
      <c r="G36" s="12"/>
      <c r="H36" s="12"/>
    </row>
    <row r="38" customFormat="false" ht="15" hidden="false" customHeight="false" outlineLevel="0" collapsed="false">
      <c r="A38" s="43" t="s">
        <v>1004</v>
      </c>
    </row>
    <row r="39" customFormat="false" ht="39.75" hidden="false" customHeight="true" outlineLevel="0" collapsed="false">
      <c r="A39" s="47" t="s">
        <v>1005</v>
      </c>
      <c r="B39" s="16" t="s">
        <v>1006</v>
      </c>
      <c r="C39" s="16"/>
      <c r="D39" s="16"/>
      <c r="E39" s="16"/>
      <c r="F39" s="16"/>
      <c r="G39" s="16"/>
      <c r="H39" s="16"/>
    </row>
    <row r="40" customFormat="false" ht="39.75" hidden="false" customHeight="true" outlineLevel="0" collapsed="false">
      <c r="A40" s="47" t="s">
        <v>1007</v>
      </c>
      <c r="B40" s="16" t="s">
        <v>1008</v>
      </c>
      <c r="C40" s="16"/>
      <c r="D40" s="16"/>
      <c r="E40" s="16"/>
      <c r="F40" s="16"/>
      <c r="G40" s="16"/>
      <c r="H40" s="16"/>
    </row>
    <row r="41" customFormat="false" ht="39.75" hidden="false" customHeight="true" outlineLevel="0" collapsed="false">
      <c r="A41" s="47" t="s">
        <v>1009</v>
      </c>
      <c r="B41" s="16" t="s">
        <v>1010</v>
      </c>
      <c r="C41" s="16"/>
      <c r="D41" s="16"/>
      <c r="E41" s="16"/>
      <c r="F41" s="16"/>
      <c r="G41" s="16"/>
      <c r="H41" s="16"/>
    </row>
    <row r="42" customFormat="false" ht="39.75" hidden="false" customHeight="true" outlineLevel="0" collapsed="false">
      <c r="A42" s="47" t="s">
        <v>1011</v>
      </c>
      <c r="B42" s="16" t="s">
        <v>1012</v>
      </c>
      <c r="C42" s="16"/>
      <c r="D42" s="16"/>
      <c r="E42" s="16"/>
      <c r="F42" s="16"/>
      <c r="G42" s="16"/>
      <c r="H42" s="16"/>
    </row>
    <row r="43" customFormat="false" ht="39.75" hidden="false" customHeight="true" outlineLevel="0" collapsed="false">
      <c r="A43" s="47" t="s">
        <v>1013</v>
      </c>
      <c r="B43" s="16" t="s">
        <v>1014</v>
      </c>
      <c r="C43" s="16"/>
      <c r="D43" s="16"/>
      <c r="E43" s="16"/>
      <c r="F43" s="16"/>
      <c r="G43" s="16"/>
      <c r="H43" s="16"/>
    </row>
    <row r="44" customFormat="false" ht="39.75" hidden="false" customHeight="true" outlineLevel="0" collapsed="false">
      <c r="A44" s="47" t="s">
        <v>1015</v>
      </c>
      <c r="B44" s="16" t="s">
        <v>1016</v>
      </c>
      <c r="C44" s="16"/>
      <c r="D44" s="16"/>
      <c r="E44" s="16"/>
      <c r="F44" s="16"/>
      <c r="G44" s="16"/>
      <c r="H44" s="16"/>
    </row>
    <row r="45" customFormat="false" ht="39.75" hidden="false" customHeight="true" outlineLevel="0" collapsed="false">
      <c r="A45" s="47" t="s">
        <v>1017</v>
      </c>
      <c r="B45" s="16" t="s">
        <v>1018</v>
      </c>
      <c r="C45" s="16"/>
      <c r="D45" s="16"/>
      <c r="E45" s="16"/>
      <c r="F45" s="16"/>
      <c r="G45" s="16"/>
      <c r="H45" s="16"/>
    </row>
    <row r="46" customFormat="false" ht="39.75" hidden="false" customHeight="true" outlineLevel="0" collapsed="false">
      <c r="A46" s="47" t="s">
        <v>1019</v>
      </c>
      <c r="B46" s="16" t="s">
        <v>1020</v>
      </c>
      <c r="C46" s="16"/>
      <c r="D46" s="16"/>
      <c r="E46" s="16"/>
      <c r="F46" s="16"/>
      <c r="G46" s="16"/>
      <c r="H46" s="16"/>
    </row>
    <row r="47" customFormat="false" ht="39.75" hidden="false" customHeight="true" outlineLevel="0" collapsed="false">
      <c r="A47" s="47" t="s">
        <v>1021</v>
      </c>
      <c r="B47" s="16" t="s">
        <v>1022</v>
      </c>
      <c r="C47" s="16"/>
      <c r="D47" s="16"/>
      <c r="E47" s="16"/>
      <c r="F47" s="16"/>
      <c r="G47" s="16"/>
      <c r="H47" s="16"/>
    </row>
    <row r="48" customFormat="false" ht="39.75" hidden="false" customHeight="true" outlineLevel="0" collapsed="false">
      <c r="A48" s="47" t="s">
        <v>1023</v>
      </c>
      <c r="B48" s="16" t="s">
        <v>1024</v>
      </c>
      <c r="C48" s="16"/>
      <c r="D48" s="16"/>
      <c r="E48" s="16"/>
      <c r="F48" s="16"/>
      <c r="G48" s="16"/>
      <c r="H48" s="16"/>
    </row>
    <row r="50" customFormat="false" ht="15" hidden="false" customHeight="false" outlineLevel="0" collapsed="false">
      <c r="A50" s="3" t="s">
        <v>31</v>
      </c>
    </row>
    <row r="51" customFormat="false" ht="15" hidden="false" customHeight="false" outlineLevel="0" collapsed="false">
      <c r="A51" s="18" t="s">
        <v>32</v>
      </c>
    </row>
    <row r="52" customFormat="false" ht="15" hidden="false" customHeight="false" outlineLevel="0" collapsed="false">
      <c r="A52" s="19" t="s">
        <v>33</v>
      </c>
    </row>
    <row r="53" customFormat="false" ht="15" hidden="false" customHeight="false" outlineLevel="0" collapsed="false">
      <c r="A53" s="20" t="s">
        <v>34</v>
      </c>
    </row>
    <row r="54" customFormat="false" ht="15" hidden="false" customHeight="false" outlineLevel="0" collapsed="false">
      <c r="A54" s="21" t="s">
        <v>35</v>
      </c>
    </row>
    <row r="55" customFormat="false" ht="15" hidden="false" customHeight="false" outlineLevel="0" collapsed="false">
      <c r="A55" s="22" t="s">
        <v>36</v>
      </c>
    </row>
    <row r="56" customFormat="false" ht="15" hidden="false" customHeight="false" outlineLevel="0" collapsed="false">
      <c r="A56" s="23" t="s">
        <v>37</v>
      </c>
    </row>
  </sheetData>
  <mergeCells count="13">
    <mergeCell ref="A1:H1"/>
    <mergeCell ref="A2:H2"/>
    <mergeCell ref="B4:E4"/>
    <mergeCell ref="B39:H39"/>
    <mergeCell ref="B40:H40"/>
    <mergeCell ref="B41:H41"/>
    <mergeCell ref="B42:H42"/>
    <mergeCell ref="B43:H43"/>
    <mergeCell ref="B44:H44"/>
    <mergeCell ref="B45:H45"/>
    <mergeCell ref="B46:H46"/>
    <mergeCell ref="B47:H47"/>
    <mergeCell ref="B48:H48"/>
  </mergeCells>
  <conditionalFormatting sqref="B7:F36">
    <cfRule type="expression" priority="2" aboveAverage="0" equalAverage="0" bottom="0" percent="0" rank="0" text="" dxfId="12">
      <formula>$B7=1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2026-10-14T12:58:26Z</dcterms:created>
  <dc:creator>openpyxl</dc:creator>
  <dc:description/>
  <dc:language>en-US</dc:language>
  <cp:lastModifiedBy/>
  <dcterms:modified xsi:type="dcterms:W3CDTF">2026-10-14T12:58:26Z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